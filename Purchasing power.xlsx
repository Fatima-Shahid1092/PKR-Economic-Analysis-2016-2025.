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616F308-98CA-4267-8669-A8124EF042B2}" xr6:coauthVersionLast="47" xr6:coauthVersionMax="47" xr10:uidLastSave="{00000000-0000-0000-0000-000000000000}"/>
  <bookViews>
    <workbookView xWindow="-120" yWindow="-120" windowWidth="29040" windowHeight="15720" xr2:uid="{C3F50DDF-DF99-449D-A5FB-D15974634D7C}"/>
  </bookViews>
  <sheets>
    <sheet name="Purchasing pow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D121" i="1"/>
  <c r="E121" i="1"/>
  <c r="C3" i="1"/>
  <c r="E3" i="1"/>
  <c r="C4" i="1"/>
  <c r="E4" i="1"/>
  <c r="C5" i="1"/>
  <c r="E5" i="1"/>
  <c r="D90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</calcChain>
</file>

<file path=xl/sharedStrings.xml><?xml version="1.0" encoding="utf-8"?>
<sst xmlns="http://schemas.openxmlformats.org/spreadsheetml/2006/main" count="145" uniqueCount="51">
  <si>
    <t>Month-Year</t>
  </si>
  <si>
    <t>CPI Index</t>
  </si>
  <si>
    <t>Monthly Inflation(%)</t>
  </si>
  <si>
    <t>Purchasing Power of 1,000 PKR</t>
  </si>
  <si>
    <t>Notes/Events</t>
  </si>
  <si>
    <t>Annual Inflation(%)</t>
  </si>
  <si>
    <t>-</t>
  </si>
  <si>
    <t>… currency value remain stable above 90%...</t>
  </si>
  <si>
    <t>…erosion accelerates…</t>
  </si>
  <si>
    <t>…moderate erosion…</t>
  </si>
  <si>
    <r>
      <t xml:space="preserve">PHASE 1: </t>
    </r>
    <r>
      <rPr>
        <b/>
        <sz val="12"/>
        <color theme="1"/>
        <rFont val="Aptos Narrow"/>
        <family val="2"/>
        <scheme val="minor"/>
      </rPr>
      <t>Baseline: 1,000 PKR, represents 100% purchasing power.</t>
    </r>
  </si>
  <si>
    <t>value drops below 800 PKR for the first time</t>
  </si>
  <si>
    <t>COVID-19 pandemic disruptions to local supply chains</t>
  </si>
  <si>
    <r>
      <rPr>
        <b/>
        <sz val="12"/>
        <color theme="9" tint="-0.249977111117893"/>
        <rFont val="Aptos Narrow"/>
        <family val="2"/>
        <scheme val="minor"/>
      </rPr>
      <t>Phase 2 Exit</t>
    </r>
    <r>
      <rPr>
        <b/>
        <sz val="11"/>
        <color theme="9" tint="-0.249977111117893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2"/>
        <scheme val="minor"/>
      </rPr>
      <t>Final month before transition into High Inflation Crisis</t>
    </r>
  </si>
  <si>
    <r>
      <t xml:space="preserve">COVID-19 pandemic disruptions to local supply chains             </t>
    </r>
    <r>
      <rPr>
        <b/>
        <sz val="12"/>
        <color theme="9" tint="-0.249977111117893"/>
        <rFont val="Aptos Narrow"/>
        <family val="2"/>
        <scheme val="minor"/>
      </rPr>
      <t>Reason:</t>
    </r>
    <r>
      <rPr>
        <b/>
        <sz val="11"/>
        <color theme="9" tint="-0.249977111117893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Global Trade lovkdowns caused price instability in essential goods.</t>
    </r>
  </si>
  <si>
    <r>
      <t xml:space="preserve">Purchasing power remains in the 800+ range ;moderate erosion                                                                                        </t>
    </r>
    <r>
      <rPr>
        <b/>
        <sz val="12"/>
        <color theme="9" tint="-0.249977111117893"/>
        <rFont val="Aptos Narrow"/>
        <family val="2"/>
        <scheme val="minor"/>
      </rPr>
      <t>Reason:</t>
    </r>
    <r>
      <rPr>
        <sz val="11"/>
        <color theme="1"/>
        <rFont val="Aptos Narrow"/>
        <family val="2"/>
        <scheme val="minor"/>
      </rPr>
      <t xml:space="preserve">Reason: Global oil price stability and initial IMF stabilization efforts kept the drop gradual.  </t>
    </r>
  </si>
  <si>
    <r>
      <rPr>
        <b/>
        <sz val="12"/>
        <color rgb="FFC00000"/>
        <rFont val="Aptos Narrow"/>
        <family val="2"/>
        <scheme val="minor"/>
      </rPr>
      <t xml:space="preserve">PHASE 3: </t>
    </r>
    <r>
      <rPr>
        <b/>
        <sz val="12"/>
        <color theme="1"/>
        <rFont val="Aptos Narrow"/>
        <family val="2"/>
        <scheme val="minor"/>
      </rPr>
      <t>Historic Crisis(2022-2023)</t>
    </r>
  </si>
  <si>
    <t>…purchasing power starts to weaken…</t>
  </si>
  <si>
    <r>
      <rPr>
        <b/>
        <sz val="11"/>
        <color theme="1"/>
        <rFont val="Aptos Narrow"/>
        <family val="2"/>
        <scheme val="minor"/>
      </rPr>
      <t xml:space="preserve">Shock Event: </t>
    </r>
    <r>
      <rPr>
        <sz val="11"/>
        <color theme="1"/>
        <rFont val="Aptos Narrow"/>
        <family val="2"/>
        <scheme val="minor"/>
      </rPr>
      <t xml:space="preserve">Massive 6.3% Monthly Spike                                   </t>
    </r>
    <r>
      <rPr>
        <b/>
        <sz val="11"/>
        <color theme="9" tint="-0.249977111117893"/>
        <rFont val="Aptos Narrow"/>
        <family val="2"/>
        <scheme val="minor"/>
      </rPr>
      <t>Reason: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Removal of Petrolium Subsidies and a sharp spike in electricity tariffs.</t>
    </r>
  </si>
  <si>
    <t>…purchasing power starts to weaken...</t>
  </si>
  <si>
    <r>
      <rPr>
        <b/>
        <sz val="12"/>
        <color theme="9" tint="-0.249977111117893"/>
        <rFont val="Aptos Narrow"/>
        <family val="2"/>
        <scheme val="minor"/>
      </rPr>
      <t>Phase 3 Exit:</t>
    </r>
    <r>
      <rPr>
        <sz val="11"/>
        <color theme="1"/>
        <rFont val="Aptos Narrow"/>
        <family val="2"/>
        <scheme val="minor"/>
      </rPr>
      <t xml:space="preserve"> 1,000 PKR now holds less than 40% of its 2016 value</t>
    </r>
  </si>
  <si>
    <r>
      <rPr>
        <b/>
        <sz val="12"/>
        <color rgb="FFC00000"/>
        <rFont val="Aptos Narrow"/>
        <family val="2"/>
        <scheme val="minor"/>
      </rPr>
      <t xml:space="preserve">PHASE 4: </t>
    </r>
    <r>
      <rPr>
        <b/>
        <sz val="12"/>
        <color theme="1"/>
        <rFont val="Aptos Narrow"/>
        <family val="2"/>
        <scheme val="minor"/>
      </rPr>
      <t>The Historic Peak and Recovery Attempt. Inflation hits its absolute maximum due to political instability and energy price shocks.</t>
    </r>
  </si>
  <si>
    <t xml:space="preserve">Sudden Fall: Purchasing Power continues sharp drop.     </t>
  </si>
  <si>
    <t xml:space="preserve">…purchasing Power starts to weaken...                          </t>
  </si>
  <si>
    <t xml:space="preserve">…purchasing Power starts to weaken...  </t>
  </si>
  <si>
    <t>purchasing power rises due to-6.4% deflation</t>
  </si>
  <si>
    <t>Sudden Fall : Massive 10% Monthly Shock</t>
  </si>
  <si>
    <r>
      <rPr>
        <b/>
        <sz val="12"/>
        <color theme="9" tint="-0.249977111117893"/>
        <rFont val="Aptos Narrow"/>
        <family val="2"/>
        <scheme val="minor"/>
      </rPr>
      <t xml:space="preserve">Phase 4 Exit : </t>
    </r>
    <r>
      <rPr>
        <sz val="11"/>
        <color theme="1"/>
        <rFont val="Aptos Narrow"/>
        <family val="2"/>
        <scheme val="minor"/>
      </rPr>
      <t xml:space="preserve">The year ends with zero monthly growth,signaling the end of the high-volatility 2023 period. </t>
    </r>
  </si>
  <si>
    <r>
      <t xml:space="preserve">The start of high -inflation era                                                           </t>
    </r>
    <r>
      <rPr>
        <b/>
        <sz val="12"/>
        <color theme="9" tint="-0.249977111117893"/>
        <rFont val="Aptos Narrow"/>
        <family val="2"/>
        <scheme val="minor"/>
      </rPr>
      <t xml:space="preserve">Reason: </t>
    </r>
    <r>
      <rPr>
        <sz val="11"/>
        <color theme="1"/>
        <rFont val="Aptos Narrow"/>
        <family val="2"/>
        <scheme val="minor"/>
      </rPr>
      <t>Caused bt political instability and global commodity price surges.</t>
    </r>
  </si>
  <si>
    <r>
      <t xml:space="preserve"> Currency value remain stable above 90%                                             </t>
    </r>
    <r>
      <rPr>
        <b/>
        <sz val="12"/>
        <color theme="9" tint="-0.249977111117893"/>
        <rFont val="Aptos Narrow"/>
        <family val="2"/>
        <scheme val="minor"/>
      </rPr>
      <t>Reasons:</t>
    </r>
    <r>
      <rPr>
        <sz val="11"/>
        <color theme="1"/>
        <rFont val="Aptos Narrow"/>
        <family val="2"/>
        <scheme val="minor"/>
      </rPr>
      <t xml:space="preserve"> Reason: Low Global oil prices and CPEC investments keep inflation under 5%.</t>
    </r>
  </si>
  <si>
    <r>
      <t xml:space="preserve"> </t>
    </r>
    <r>
      <rPr>
        <b/>
        <sz val="12"/>
        <color theme="9" tint="-0.249977111117893"/>
        <rFont val="Aptos Narrow"/>
        <family val="2"/>
        <scheme val="minor"/>
      </rPr>
      <t xml:space="preserve">Phase 1 Exit: </t>
    </r>
    <r>
      <rPr>
        <sz val="12"/>
        <color theme="1"/>
        <rFont val="Aptos Narrow"/>
        <family val="2"/>
        <scheme val="minor"/>
      </rPr>
      <t>1000 PKR retains 96% of its value. This marks the last month before the "Erosion Phase" begins.</t>
    </r>
  </si>
  <si>
    <r>
      <rPr>
        <b/>
        <sz val="12"/>
        <color rgb="FFC00000"/>
        <rFont val="Aptos Narrow"/>
        <family val="2"/>
        <scheme val="minor"/>
      </rPr>
      <t>PHASE 2:</t>
    </r>
    <r>
      <rPr>
        <sz val="12"/>
        <color rgb="FFC00000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Moderate Erosion; the 900 PKR threshold is broken for the first time.</t>
    </r>
  </si>
  <si>
    <r>
      <rPr>
        <b/>
        <sz val="12"/>
        <color rgb="FFC00000"/>
        <rFont val="Aptos Narrow"/>
        <family val="2"/>
        <scheme val="minor"/>
      </rPr>
      <t xml:space="preserve">Phase 5: </t>
    </r>
    <r>
      <rPr>
        <sz val="12"/>
        <color theme="1"/>
        <rFont val="Aptos Narrow"/>
        <family val="2"/>
        <scheme val="minor"/>
      </rPr>
      <t xml:space="preserve">Transition to Stagnation. Purchasing Power starts to weaken.                                                                                                             </t>
    </r>
    <r>
      <rPr>
        <b/>
        <sz val="12"/>
        <color theme="9" tint="-0.249977111117893"/>
        <rFont val="Aptos Narrow"/>
        <family val="2"/>
        <scheme val="minor"/>
      </rPr>
      <t xml:space="preserve">Reason : </t>
    </r>
    <r>
      <rPr>
        <sz val="12"/>
        <color theme="1"/>
        <rFont val="Aptos Narrow"/>
        <family val="2"/>
        <scheme val="minor"/>
      </rPr>
      <t xml:space="preserve">A sudden 1.7% monthly jump cause a significant drop in value.                         </t>
    </r>
    <r>
      <rPr>
        <sz val="11"/>
        <color theme="1"/>
        <rFont val="Aptos Narrow"/>
        <family val="2"/>
        <scheme val="minor"/>
      </rPr>
      <t xml:space="preserve">                                   </t>
    </r>
  </si>
  <si>
    <t>Sudden Rise : Value recovers due to -0.4% deflation.</t>
  </si>
  <si>
    <t>Sudden Fall : Brief recovery ends; purchasing power starts to fall.</t>
  </si>
  <si>
    <t>Sudden Rise : Purchasing power rises due to -0.5% deflation.</t>
  </si>
  <si>
    <t>Sudden Rise : Purchasing power rises due to -0.8% deflation</t>
  </si>
  <si>
    <t>Sudden Rise : Purchasing power rises due to -0.6% deflation</t>
  </si>
  <si>
    <t>Purchasing power continues to rise due to -0.2% inflation.</t>
  </si>
  <si>
    <r>
      <rPr>
        <b/>
        <sz val="12"/>
        <color theme="9" tint="-0.249977111117893"/>
        <rFont val="Aptos Narrow"/>
        <family val="2"/>
        <scheme val="minor"/>
      </rPr>
      <t xml:space="preserve">Phase 5 Exit : </t>
    </r>
    <r>
      <rPr>
        <sz val="12"/>
        <color theme="1"/>
        <rFont val="Aptos Narrow"/>
        <family val="2"/>
        <scheme val="minor"/>
      </rPr>
      <t>The year ends with deflationary correlation (-0.4%) driven by improved food supply . While Purchasing power sees a small sudden rise.</t>
    </r>
  </si>
  <si>
    <t>In 2016, monthly inflation fluctuates between -0.7% and 1.5% keeping the notes's strength nearly intact.</t>
  </si>
  <si>
    <t>In 2017, annual inflation begins to appear(ranging from 2.9% to 5.3%),but the 900 PKR floor is never broken.</t>
  </si>
  <si>
    <t>purchasing power continues to rise due to -3.2% deflation.</t>
  </si>
  <si>
    <t>purchasing power continues to fall.</t>
  </si>
  <si>
    <t>Comments</t>
  </si>
  <si>
    <t>100% Utility Baseline</t>
  </si>
  <si>
    <t>The 900 PKR Breach</t>
  </si>
  <si>
    <t>Steep Decline Begins</t>
  </si>
  <si>
    <t>Record 38% Inflation Shock</t>
  </si>
  <si>
    <t>Terminal Value: 359.36</t>
  </si>
  <si>
    <t>…erosion accelerates..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</si>
</sst>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5E5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 applyAlignment="1">
      <alignment horizontal="center" vertical="top"/>
    </xf>
    <xf numFmtId="165" fontId="0" fillId="0" borderId="1" xfId="1" applyNumberFormat="1" applyFont="1" applyBorder="1" applyAlignment="1">
      <alignment horizontal="center" vertical="top"/>
    </xf>
    <xf numFmtId="0" fontId="0" fillId="0" borderId="1" xfId="0" applyBorder="1" applyAlignment="1">
      <alignment vertical="top"/>
    </xf>
    <xf numFmtId="3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3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5" fontId="0" fillId="7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top" wrapText="1"/>
    </xf>
    <xf numFmtId="165" fontId="0" fillId="8" borderId="1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3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3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165" fontId="0" fillId="0" borderId="3" xfId="1" applyNumberFormat="1" applyFont="1" applyBorder="1" applyAlignment="1">
      <alignment horizontal="center" vertical="top"/>
    </xf>
    <xf numFmtId="39" fontId="0" fillId="0" borderId="3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65" fontId="0" fillId="0" borderId="2" xfId="1" applyNumberFormat="1" applyFont="1" applyBorder="1" applyAlignment="1">
      <alignment horizontal="center" vertical="top"/>
    </xf>
    <xf numFmtId="39" fontId="0" fillId="0" borderId="2" xfId="0" applyNumberFormat="1" applyBorder="1" applyAlignment="1">
      <alignment horizontal="center" vertical="top"/>
    </xf>
    <xf numFmtId="0" fontId="5" fillId="9" borderId="1" xfId="0" applyFont="1" applyFill="1" applyBorder="1" applyAlignment="1">
      <alignment horizontal="center" vertical="top" wrapText="1"/>
    </xf>
    <xf numFmtId="0" fontId="7" fillId="10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6" fillId="9" borderId="3" xfId="0" applyFont="1" applyFill="1" applyBorder="1" applyAlignment="1">
      <alignment horizontal="center" vertical="top" wrapText="1"/>
    </xf>
    <xf numFmtId="0" fontId="0" fillId="10" borderId="2" xfId="0" applyFill="1" applyBorder="1" applyAlignment="1">
      <alignment horizontal="center" vertical="top" wrapText="1"/>
    </xf>
    <xf numFmtId="0" fontId="7" fillId="10" borderId="2" xfId="0" applyFont="1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top"/>
    </xf>
    <xf numFmtId="164" fontId="0" fillId="12" borderId="2" xfId="0" applyNumberFormat="1" applyFill="1" applyBorder="1" applyAlignment="1">
      <alignment horizontal="center" vertical="center"/>
    </xf>
    <xf numFmtId="164" fontId="0" fillId="12" borderId="3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top"/>
    </xf>
    <xf numFmtId="164" fontId="0" fillId="12" borderId="3" xfId="0" applyNumberFormat="1" applyFill="1" applyBorder="1" applyAlignment="1">
      <alignment horizontal="center" vertical="top"/>
    </xf>
    <xf numFmtId="0" fontId="10" fillId="13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165" fontId="10" fillId="3" borderId="1" xfId="1" applyNumberFormat="1" applyFont="1" applyFill="1" applyBorder="1" applyAlignment="1">
      <alignment horizontal="center" vertical="top"/>
    </xf>
    <xf numFmtId="165" fontId="10" fillId="4" borderId="1" xfId="1" applyNumberFormat="1" applyFont="1" applyFill="1" applyBorder="1" applyAlignment="1">
      <alignment horizontal="center" vertical="top"/>
    </xf>
    <xf numFmtId="39" fontId="10" fillId="5" borderId="1" xfId="0" applyNumberFormat="1" applyFont="1" applyFill="1" applyBorder="1" applyAlignment="1">
      <alignment horizontal="center" vertical="top"/>
    </xf>
    <xf numFmtId="0" fontId="10" fillId="14" borderId="1" xfId="0" applyFont="1" applyFill="1" applyBorder="1" applyAlignment="1">
      <alignment horizontal="center" vertical="top" wrapText="1"/>
    </xf>
    <xf numFmtId="0" fontId="10" fillId="15" borderId="5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9"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7" formatCode="#,##0.00_);\(#,##0.00\)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mm\-yyyy"/>
      <fill>
        <patternFill patternType="solid">
          <fgColor indexed="64"/>
          <bgColor theme="3" tint="0.89999084444715716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85E5E"/>
      <color rgb="FFFF5050"/>
      <color rgb="FFF4705A"/>
      <color rgb="FFCCECFF"/>
      <color rgb="FFB4C8F6"/>
      <color rgb="FF336699"/>
      <color rgb="FF4B94DD"/>
      <color rgb="FF99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BB08B-FAA9-4B21-B057-5EA604F26AE2}" name="Table1" displayName="Table1" ref="A1:G121" totalsRowShown="0" headerRowDxfId="8" dataDxfId="7">
  <autoFilter ref="A1:G121" xr:uid="{363BB08B-FAA9-4B21-B057-5EA604F26AE2}"/>
  <tableColumns count="7">
    <tableColumn id="1" xr3:uid="{5FA016EC-D205-470F-B3F7-465114CB5B7C}" name="Month-Year" dataDxfId="6"/>
    <tableColumn id="2" xr3:uid="{24072531-94DE-46E6-919A-37C328C3A42E}" name="CPI Index" dataDxfId="5"/>
    <tableColumn id="3" xr3:uid="{AB0F1F98-7782-4301-AA9C-E3C7015FB460}" name="Monthly Inflation(%)" dataDxfId="4" dataCellStyle="Percent">
      <calculatedColumnFormula>(B2-B1)/B1</calculatedColumnFormula>
    </tableColumn>
    <tableColumn id="4" xr3:uid="{8F8A68D3-DFBC-4C04-BEBC-42A8621E976D}" name="Annual Inflation(%)" dataDxfId="3" dataCellStyle="Percent"/>
    <tableColumn id="5" xr3:uid="{E8C074EB-0AF2-411F-914A-5A1C052322F8}" name="Purchasing Power of 1,000 PKR" dataDxfId="2">
      <calculatedColumnFormula>$E$2*($B$2/B2)</calculatedColumnFormula>
    </tableColumn>
    <tableColumn id="6" xr3:uid="{B8A7C3BC-E281-42D0-898D-EEA8B9DD45C5}" name="Notes/Events" dataDxfId="1"/>
    <tableColumn id="7" xr3:uid="{228D1638-902B-44D5-9D81-D36241598598}" name="Com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F8F1-A651-494D-941B-C6832DFFFF9A}">
  <dimension ref="A1:L122"/>
  <sheetViews>
    <sheetView tabSelected="1" topLeftCell="A2" zoomScaleNormal="100" workbookViewId="0">
      <selection activeCell="C10" sqref="C10"/>
    </sheetView>
  </sheetViews>
  <sheetFormatPr defaultRowHeight="15" x14ac:dyDescent="0.25"/>
  <cols>
    <col min="1" max="1" width="13.5703125" style="1" customWidth="1"/>
    <col min="2" max="2" width="13.140625" style="1" customWidth="1"/>
    <col min="3" max="3" width="21.42578125" style="2" customWidth="1"/>
    <col min="4" max="4" width="20.28515625" style="2" customWidth="1"/>
    <col min="5" max="5" width="31.7109375" style="4" customWidth="1"/>
    <col min="6" max="6" width="58.140625" style="8" customWidth="1"/>
    <col min="7" max="7" width="18.28515625" style="8" customWidth="1"/>
    <col min="8" max="16384" width="9.140625" style="1"/>
  </cols>
  <sheetData>
    <row r="1" spans="1:12" ht="17.25" x14ac:dyDescent="0.25">
      <c r="A1" s="49" t="s">
        <v>0</v>
      </c>
      <c r="B1" s="50" t="s">
        <v>1</v>
      </c>
      <c r="C1" s="51" t="s">
        <v>2</v>
      </c>
      <c r="D1" s="52" t="s">
        <v>5</v>
      </c>
      <c r="E1" s="53" t="s">
        <v>3</v>
      </c>
      <c r="F1" s="54" t="s">
        <v>4</v>
      </c>
      <c r="G1" s="55" t="s">
        <v>44</v>
      </c>
    </row>
    <row r="2" spans="1:12" ht="31.5" x14ac:dyDescent="0.25">
      <c r="A2" s="43">
        <v>42370</v>
      </c>
      <c r="B2" s="5">
        <v>100.81</v>
      </c>
      <c r="C2" s="6" t="s">
        <v>6</v>
      </c>
      <c r="D2" s="6" t="s">
        <v>6</v>
      </c>
      <c r="E2" s="7">
        <v>1000</v>
      </c>
      <c r="F2" s="30" t="s">
        <v>10</v>
      </c>
      <c r="G2" s="11" t="s">
        <v>45</v>
      </c>
    </row>
    <row r="3" spans="1:12" ht="45.75" x14ac:dyDescent="0.25">
      <c r="A3" s="43">
        <v>42401</v>
      </c>
      <c r="B3" s="5">
        <v>100.56</v>
      </c>
      <c r="C3" s="6">
        <f>(B3-B2)/B2</f>
        <v>-2.4799127070727111E-3</v>
      </c>
      <c r="D3" s="6" t="s">
        <v>6</v>
      </c>
      <c r="E3" s="7">
        <f t="shared" ref="E3:E34" si="0">$E$2*($B$2/B3)</f>
        <v>1002.4860779634048</v>
      </c>
      <c r="F3" s="14" t="s">
        <v>29</v>
      </c>
    </row>
    <row r="4" spans="1:12" x14ac:dyDescent="0.25">
      <c r="A4" s="44">
        <v>42430</v>
      </c>
      <c r="B4" s="1">
        <v>100.7</v>
      </c>
      <c r="C4" s="2">
        <f>(B4-B3)/B3</f>
        <v>1.3922036595067678E-3</v>
      </c>
      <c r="D4" s="2" t="s">
        <v>6</v>
      </c>
      <c r="E4" s="4">
        <f t="shared" si="0"/>
        <v>1001.0923535253227</v>
      </c>
      <c r="F4" s="8" t="s">
        <v>7</v>
      </c>
    </row>
    <row r="5" spans="1:12" x14ac:dyDescent="0.25">
      <c r="A5" s="44">
        <v>42461</v>
      </c>
      <c r="B5" s="1">
        <v>102.26</v>
      </c>
      <c r="C5" s="2">
        <f>(B5-B4)/B4</f>
        <v>1.5491559086395256E-2</v>
      </c>
      <c r="D5" s="2" t="s">
        <v>6</v>
      </c>
      <c r="E5" s="4">
        <f t="shared" si="0"/>
        <v>985.82045765695284</v>
      </c>
      <c r="F5" s="8" t="s">
        <v>7</v>
      </c>
    </row>
    <row r="6" spans="1:12" x14ac:dyDescent="0.25">
      <c r="A6" s="44">
        <v>42491</v>
      </c>
      <c r="B6" s="1">
        <v>102.05</v>
      </c>
      <c r="C6" s="2">
        <f>(B6-B5)/B5</f>
        <v>-2.0535888910620764E-3</v>
      </c>
      <c r="D6" s="2" t="s">
        <v>6</v>
      </c>
      <c r="E6" s="4">
        <f t="shared" si="0"/>
        <v>987.84909358157768</v>
      </c>
      <c r="F6" s="8" t="s">
        <v>7</v>
      </c>
    </row>
    <row r="7" spans="1:12" x14ac:dyDescent="0.25">
      <c r="A7" s="44">
        <v>42522</v>
      </c>
      <c r="B7" s="1">
        <v>102.7</v>
      </c>
      <c r="C7" s="2">
        <f t="shared" ref="C7:C67" si="1">(B7-B6)/B6</f>
        <v>6.3694267515924125E-3</v>
      </c>
      <c r="D7" s="2" t="s">
        <v>6</v>
      </c>
      <c r="E7" s="4">
        <f t="shared" si="0"/>
        <v>981.59688412852972</v>
      </c>
      <c r="F7" s="8" t="s">
        <v>7</v>
      </c>
    </row>
    <row r="8" spans="1:12" x14ac:dyDescent="0.25">
      <c r="A8" s="44">
        <v>42552</v>
      </c>
      <c r="B8" s="1">
        <v>104.07</v>
      </c>
      <c r="C8" s="2">
        <f t="shared" si="1"/>
        <v>1.3339824732229701E-2</v>
      </c>
      <c r="D8" s="2" t="s">
        <v>6</v>
      </c>
      <c r="E8" s="4">
        <f t="shared" si="0"/>
        <v>968.67493033535129</v>
      </c>
      <c r="F8" s="8" t="s">
        <v>7</v>
      </c>
    </row>
    <row r="9" spans="1:12" x14ac:dyDescent="0.25">
      <c r="A9" s="44">
        <v>42583</v>
      </c>
      <c r="B9" s="1">
        <v>103.77</v>
      </c>
      <c r="C9" s="2">
        <f t="shared" si="1"/>
        <v>-2.8826751225136658E-3</v>
      </c>
      <c r="D9" s="2" t="s">
        <v>6</v>
      </c>
      <c r="E9" s="4">
        <f t="shared" si="0"/>
        <v>971.4753782403393</v>
      </c>
      <c r="F9" s="8" t="s">
        <v>7</v>
      </c>
    </row>
    <row r="10" spans="1:12" x14ac:dyDescent="0.25">
      <c r="A10" s="44">
        <v>42614</v>
      </c>
      <c r="B10" s="1">
        <v>103.97</v>
      </c>
      <c r="C10" s="2">
        <f t="shared" si="1"/>
        <v>1.9273393080852159E-3</v>
      </c>
      <c r="D10" s="2" t="s">
        <v>6</v>
      </c>
      <c r="E10" s="4">
        <f t="shared" si="0"/>
        <v>969.60661729345009</v>
      </c>
      <c r="F10" s="8" t="s">
        <v>7</v>
      </c>
    </row>
    <row r="11" spans="1:12" x14ac:dyDescent="0.25">
      <c r="A11" s="44">
        <v>42644</v>
      </c>
      <c r="B11" s="1">
        <v>104.81</v>
      </c>
      <c r="C11" s="2">
        <f t="shared" si="1"/>
        <v>8.0792536308550867E-3</v>
      </c>
      <c r="D11" s="2" t="s">
        <v>6</v>
      </c>
      <c r="E11" s="4">
        <f t="shared" si="0"/>
        <v>961.8357027001241</v>
      </c>
      <c r="F11" s="8" t="s">
        <v>7</v>
      </c>
    </row>
    <row r="12" spans="1:12" x14ac:dyDescent="0.25">
      <c r="A12" s="44">
        <v>42675</v>
      </c>
      <c r="B12" s="1">
        <v>105.03</v>
      </c>
      <c r="C12" s="2">
        <f t="shared" si="1"/>
        <v>2.0990363514931673E-3</v>
      </c>
      <c r="D12" s="2" t="s">
        <v>6</v>
      </c>
      <c r="E12" s="4">
        <f t="shared" si="0"/>
        <v>959.82100352280293</v>
      </c>
      <c r="F12" s="8" t="s">
        <v>7</v>
      </c>
    </row>
    <row r="13" spans="1:12" ht="30.75" thickBot="1" x14ac:dyDescent="0.3">
      <c r="A13" s="45">
        <v>42705</v>
      </c>
      <c r="B13" s="20">
        <v>104.32</v>
      </c>
      <c r="C13" s="21">
        <f t="shared" si="1"/>
        <v>-6.75997334095028E-3</v>
      </c>
      <c r="D13" s="21" t="s">
        <v>6</v>
      </c>
      <c r="E13" s="22">
        <f t="shared" si="0"/>
        <v>966.35352760736203</v>
      </c>
      <c r="F13" s="23" t="s">
        <v>40</v>
      </c>
    </row>
    <row r="14" spans="1:12" x14ac:dyDescent="0.25">
      <c r="A14" s="46">
        <v>42736</v>
      </c>
      <c r="B14" s="16">
        <v>104.5</v>
      </c>
      <c r="C14" s="17">
        <f t="shared" si="1"/>
        <v>1.725460122699452E-3</v>
      </c>
      <c r="D14" s="17">
        <f>(B14-B2)/B2</f>
        <v>3.6603511556393194E-2</v>
      </c>
      <c r="E14" s="18">
        <f t="shared" si="0"/>
        <v>964.68899521531102</v>
      </c>
      <c r="F14" s="19" t="s">
        <v>7</v>
      </c>
    </row>
    <row r="15" spans="1:12" x14ac:dyDescent="0.25">
      <c r="A15" s="44">
        <v>42767</v>
      </c>
      <c r="B15" s="1">
        <v>104.8</v>
      </c>
      <c r="C15" s="2">
        <f t="shared" si="1"/>
        <v>2.8708133971291593E-3</v>
      </c>
      <c r="D15" s="2">
        <f>(B15-B3)/B3</f>
        <v>4.2163882259347599E-2</v>
      </c>
      <c r="E15" s="4">
        <f t="shared" si="0"/>
        <v>961.9274809160305</v>
      </c>
      <c r="F15" s="8" t="s">
        <v>7</v>
      </c>
      <c r="L15" s="3"/>
    </row>
    <row r="16" spans="1:12" x14ac:dyDescent="0.25">
      <c r="A16" s="44">
        <v>42795</v>
      </c>
      <c r="B16" s="1">
        <v>105.68</v>
      </c>
      <c r="C16" s="2">
        <f t="shared" si="1"/>
        <v>8.3969465648855886E-3</v>
      </c>
      <c r="D16" s="2">
        <f>(B16-B4)/B4</f>
        <v>4.945382323733867E-2</v>
      </c>
      <c r="E16" s="4">
        <f t="shared" si="0"/>
        <v>953.91748675246026</v>
      </c>
      <c r="F16" s="8" t="s">
        <v>7</v>
      </c>
    </row>
    <row r="17" spans="1:7" x14ac:dyDescent="0.25">
      <c r="A17" s="44">
        <v>42826</v>
      </c>
      <c r="B17" s="1">
        <v>107.15</v>
      </c>
      <c r="C17" s="2">
        <f t="shared" si="1"/>
        <v>1.3909916729750178E-2</v>
      </c>
      <c r="D17" s="2">
        <f>(B17-B5)/B5</f>
        <v>4.7819284177586546E-2</v>
      </c>
      <c r="E17" s="4">
        <f t="shared" si="0"/>
        <v>940.83061129258044</v>
      </c>
      <c r="F17" s="8" t="s">
        <v>7</v>
      </c>
    </row>
    <row r="18" spans="1:7" x14ac:dyDescent="0.25">
      <c r="A18" s="44">
        <v>42856</v>
      </c>
      <c r="B18" s="1">
        <v>107.17</v>
      </c>
      <c r="C18" s="2">
        <f t="shared" si="1"/>
        <v>1.866542230517594E-4</v>
      </c>
      <c r="D18" s="2">
        <f t="shared" ref="D18:D78" si="2">(B18-B6)/B6</f>
        <v>5.017148456638907E-2</v>
      </c>
      <c r="E18" s="4">
        <f t="shared" si="0"/>
        <v>940.65503405803861</v>
      </c>
      <c r="F18" s="8" t="s">
        <v>7</v>
      </c>
    </row>
    <row r="19" spans="1:7" x14ac:dyDescent="0.25">
      <c r="A19" s="44">
        <v>42887</v>
      </c>
      <c r="B19" s="1">
        <v>106.73</v>
      </c>
      <c r="C19" s="2">
        <f t="shared" si="1"/>
        <v>-4.1056265746010796E-3</v>
      </c>
      <c r="D19" s="2">
        <f t="shared" si="2"/>
        <v>3.9240506329113932E-2</v>
      </c>
      <c r="E19" s="4">
        <f t="shared" si="0"/>
        <v>944.53293357069231</v>
      </c>
      <c r="F19" s="8" t="s">
        <v>7</v>
      </c>
    </row>
    <row r="20" spans="1:7" x14ac:dyDescent="0.25">
      <c r="A20" s="44">
        <v>42917</v>
      </c>
      <c r="B20" s="1">
        <v>107.1</v>
      </c>
      <c r="C20" s="2">
        <f t="shared" si="1"/>
        <v>3.4666916518316343E-3</v>
      </c>
      <c r="D20" s="2">
        <f t="shared" si="2"/>
        <v>2.911501873738831E-2</v>
      </c>
      <c r="E20" s="4">
        <f t="shared" si="0"/>
        <v>941.26984126984132</v>
      </c>
      <c r="F20" s="8" t="s">
        <v>7</v>
      </c>
    </row>
    <row r="21" spans="1:7" x14ac:dyDescent="0.25">
      <c r="A21" s="44">
        <v>42948</v>
      </c>
      <c r="B21" s="1">
        <v>107.3</v>
      </c>
      <c r="C21" s="2">
        <f t="shared" si="1"/>
        <v>1.867413632119541E-3</v>
      </c>
      <c r="D21" s="2">
        <f t="shared" si="2"/>
        <v>3.401753878770359E-2</v>
      </c>
      <c r="E21" s="4">
        <f t="shared" si="0"/>
        <v>939.515377446412</v>
      </c>
      <c r="F21" s="8" t="s">
        <v>7</v>
      </c>
    </row>
    <row r="22" spans="1:7" x14ac:dyDescent="0.25">
      <c r="A22" s="44">
        <v>42979</v>
      </c>
      <c r="B22" s="1">
        <v>108</v>
      </c>
      <c r="C22" s="2">
        <f t="shared" si="1"/>
        <v>6.5237651444548265E-3</v>
      </c>
      <c r="D22" s="2">
        <f t="shared" si="2"/>
        <v>3.8761181109935566E-2</v>
      </c>
      <c r="E22" s="4">
        <f t="shared" si="0"/>
        <v>933.42592592592598</v>
      </c>
      <c r="F22" s="8" t="s">
        <v>7</v>
      </c>
    </row>
    <row r="23" spans="1:7" x14ac:dyDescent="0.25">
      <c r="A23" s="44">
        <v>43009</v>
      </c>
      <c r="B23" s="1">
        <v>109.2</v>
      </c>
      <c r="C23" s="2">
        <f t="shared" si="1"/>
        <v>1.1111111111111138E-2</v>
      </c>
      <c r="D23" s="2">
        <f t="shared" si="2"/>
        <v>4.1885316286613877E-2</v>
      </c>
      <c r="E23" s="4">
        <f t="shared" si="0"/>
        <v>923.16849816849822</v>
      </c>
      <c r="F23" s="8" t="s">
        <v>7</v>
      </c>
    </row>
    <row r="24" spans="1:7" x14ac:dyDescent="0.25">
      <c r="A24" s="44">
        <v>43040</v>
      </c>
      <c r="B24" s="1">
        <v>110</v>
      </c>
      <c r="C24" s="2">
        <f t="shared" si="1"/>
        <v>7.3260073260073E-3</v>
      </c>
      <c r="D24" s="2">
        <f t="shared" si="2"/>
        <v>4.7319813386651421E-2</v>
      </c>
      <c r="E24" s="4">
        <f t="shared" si="0"/>
        <v>916.4545454545455</v>
      </c>
      <c r="F24" s="8" t="s">
        <v>7</v>
      </c>
    </row>
    <row r="25" spans="1:7" ht="30.75" thickBot="1" x14ac:dyDescent="0.3">
      <c r="A25" s="47">
        <v>43070</v>
      </c>
      <c r="B25" s="27">
        <v>109.9</v>
      </c>
      <c r="C25" s="28">
        <f t="shared" si="1"/>
        <v>-9.0909090909085737E-4</v>
      </c>
      <c r="D25" s="28">
        <f t="shared" si="2"/>
        <v>5.3489263803681103E-2</v>
      </c>
      <c r="E25" s="29">
        <f t="shared" si="0"/>
        <v>917.28844404003644</v>
      </c>
      <c r="F25" s="23" t="s">
        <v>41</v>
      </c>
    </row>
    <row r="26" spans="1:7" x14ac:dyDescent="0.25">
      <c r="A26" s="48">
        <v>43102</v>
      </c>
      <c r="B26" s="24">
        <v>110</v>
      </c>
      <c r="C26" s="25">
        <f t="shared" si="1"/>
        <v>9.0991810737028488E-4</v>
      </c>
      <c r="D26" s="25">
        <f t="shared" si="2"/>
        <v>5.2631578947368418E-2</v>
      </c>
      <c r="E26" s="26">
        <f t="shared" si="0"/>
        <v>916.4545454545455</v>
      </c>
      <c r="F26" s="19" t="s">
        <v>7</v>
      </c>
    </row>
    <row r="27" spans="1:7" x14ac:dyDescent="0.25">
      <c r="A27" s="44">
        <v>43133</v>
      </c>
      <c r="B27" s="1">
        <v>109.7</v>
      </c>
      <c r="C27" s="2">
        <f t="shared" si="1"/>
        <v>-2.7272727272727015E-3</v>
      </c>
      <c r="D27" s="2">
        <f t="shared" si="2"/>
        <v>4.6755725190839752E-2</v>
      </c>
      <c r="E27" s="4">
        <f t="shared" si="0"/>
        <v>918.96080218778491</v>
      </c>
      <c r="F27" s="8" t="s">
        <v>7</v>
      </c>
    </row>
    <row r="28" spans="1:7" x14ac:dyDescent="0.25">
      <c r="A28" s="44">
        <v>43161</v>
      </c>
      <c r="B28" s="1">
        <v>110</v>
      </c>
      <c r="C28" s="2">
        <f t="shared" si="1"/>
        <v>2.7347310847766378E-3</v>
      </c>
      <c r="D28" s="2">
        <f t="shared" si="2"/>
        <v>4.0878122634367839E-2</v>
      </c>
      <c r="E28" s="4">
        <f t="shared" si="0"/>
        <v>916.4545454545455</v>
      </c>
      <c r="F28" s="8" t="s">
        <v>7</v>
      </c>
    </row>
    <row r="29" spans="1:7" x14ac:dyDescent="0.25">
      <c r="A29" s="44">
        <v>43192</v>
      </c>
      <c r="B29" s="1">
        <v>111.1</v>
      </c>
      <c r="C29" s="2">
        <f t="shared" si="1"/>
        <v>9.9999999999999482E-3</v>
      </c>
      <c r="D29" s="2">
        <f t="shared" si="2"/>
        <v>3.6864209052729711E-2</v>
      </c>
      <c r="E29" s="4">
        <f t="shared" si="0"/>
        <v>907.38073807380749</v>
      </c>
      <c r="F29" s="8" t="s">
        <v>7</v>
      </c>
    </row>
    <row r="30" spans="1:7" ht="31.5" x14ac:dyDescent="0.25">
      <c r="A30" s="43">
        <v>43222</v>
      </c>
      <c r="B30" s="5">
        <v>111.7</v>
      </c>
      <c r="C30" s="6">
        <f t="shared" si="1"/>
        <v>5.4005400540054777E-3</v>
      </c>
      <c r="D30" s="6">
        <f t="shared" si="2"/>
        <v>4.2269291779415893E-2</v>
      </c>
      <c r="E30" s="7">
        <f t="shared" si="0"/>
        <v>902.50671441360782</v>
      </c>
      <c r="F30" s="31" t="s">
        <v>30</v>
      </c>
    </row>
    <row r="31" spans="1:7" ht="31.5" x14ac:dyDescent="0.25">
      <c r="A31" s="43">
        <v>43253</v>
      </c>
      <c r="B31" s="5">
        <v>112.6</v>
      </c>
      <c r="C31" s="6">
        <f t="shared" si="1"/>
        <v>8.0572963294538186E-3</v>
      </c>
      <c r="D31" s="6">
        <f t="shared" si="2"/>
        <v>5.4998594584465384E-2</v>
      </c>
      <c r="E31" s="7">
        <f t="shared" si="0"/>
        <v>895.29307282415641</v>
      </c>
      <c r="F31" s="32" t="s">
        <v>31</v>
      </c>
      <c r="G31" s="12" t="s">
        <v>46</v>
      </c>
    </row>
    <row r="32" spans="1:7" ht="45.75" x14ac:dyDescent="0.25">
      <c r="A32" s="43">
        <v>43283</v>
      </c>
      <c r="B32" s="5">
        <v>114.3</v>
      </c>
      <c r="C32" s="6">
        <f t="shared" si="1"/>
        <v>1.5097690941385461E-2</v>
      </c>
      <c r="D32" s="6">
        <f t="shared" si="2"/>
        <v>6.7226890756302546E-2</v>
      </c>
      <c r="E32" s="7">
        <f t="shared" si="0"/>
        <v>881.97725284339458</v>
      </c>
      <c r="F32" s="12" t="s">
        <v>15</v>
      </c>
    </row>
    <row r="33" spans="1:6" x14ac:dyDescent="0.25">
      <c r="A33" s="44">
        <v>43314</v>
      </c>
      <c r="B33" s="1">
        <v>113.9</v>
      </c>
      <c r="C33" s="2">
        <f t="shared" si="1"/>
        <v>-3.4995625546805904E-3</v>
      </c>
      <c r="D33" s="2">
        <f t="shared" si="2"/>
        <v>6.1509785647716766E-2</v>
      </c>
      <c r="E33" s="4">
        <f t="shared" si="0"/>
        <v>885.07462686567158</v>
      </c>
      <c r="F33" s="8" t="s">
        <v>9</v>
      </c>
    </row>
    <row r="34" spans="1:6" x14ac:dyDescent="0.25">
      <c r="A34" s="44">
        <v>43345</v>
      </c>
      <c r="B34" s="1">
        <v>113.9</v>
      </c>
      <c r="C34" s="2">
        <f t="shared" si="1"/>
        <v>0</v>
      </c>
      <c r="D34" s="2">
        <f t="shared" si="2"/>
        <v>5.4629629629629681E-2</v>
      </c>
      <c r="E34" s="4">
        <f t="shared" si="0"/>
        <v>885.07462686567158</v>
      </c>
      <c r="F34" s="8" t="s">
        <v>9</v>
      </c>
    </row>
    <row r="35" spans="1:6" x14ac:dyDescent="0.25">
      <c r="A35" s="44">
        <v>43375</v>
      </c>
      <c r="B35" s="1">
        <v>116.3</v>
      </c>
      <c r="C35" s="2">
        <f t="shared" si="1"/>
        <v>2.107111501316937E-2</v>
      </c>
      <c r="D35" s="2">
        <f t="shared" si="2"/>
        <v>6.5018315018314968E-2</v>
      </c>
      <c r="E35" s="4">
        <f t="shared" ref="E35:E66" si="3">$E$2*($B$2/B35)</f>
        <v>866.80997420464325</v>
      </c>
      <c r="F35" s="8" t="s">
        <v>9</v>
      </c>
    </row>
    <row r="36" spans="1:6" x14ac:dyDescent="0.25">
      <c r="A36" s="44">
        <v>43406</v>
      </c>
      <c r="B36" s="1">
        <v>116.2</v>
      </c>
      <c r="C36" s="2">
        <f t="shared" si="1"/>
        <v>-8.598452278589365E-4</v>
      </c>
      <c r="D36" s="2">
        <f t="shared" si="2"/>
        <v>5.6363636363636387E-2</v>
      </c>
      <c r="E36" s="4">
        <f t="shared" si="3"/>
        <v>867.55593803786576</v>
      </c>
      <c r="F36" s="8" t="s">
        <v>9</v>
      </c>
    </row>
    <row r="37" spans="1:6" ht="15.75" thickBot="1" x14ac:dyDescent="0.3">
      <c r="A37" s="47">
        <v>43436</v>
      </c>
      <c r="B37" s="27">
        <v>115.8</v>
      </c>
      <c r="C37" s="28">
        <f t="shared" si="1"/>
        <v>-3.4423407917384308E-3</v>
      </c>
      <c r="D37" s="28">
        <f t="shared" si="2"/>
        <v>5.3685168334849785E-2</v>
      </c>
      <c r="E37" s="29">
        <f t="shared" si="3"/>
        <v>870.55267702936101</v>
      </c>
      <c r="F37" s="23" t="s">
        <v>9</v>
      </c>
    </row>
    <row r="38" spans="1:6" x14ac:dyDescent="0.25">
      <c r="A38" s="48">
        <v>43466</v>
      </c>
      <c r="B38" s="24">
        <v>116.1</v>
      </c>
      <c r="C38" s="25">
        <f t="shared" si="1"/>
        <v>2.5906735751295091E-3</v>
      </c>
      <c r="D38" s="25">
        <f t="shared" si="2"/>
        <v>5.5454545454545402E-2</v>
      </c>
      <c r="E38" s="26">
        <f t="shared" si="3"/>
        <v>868.30318690783815</v>
      </c>
      <c r="F38" s="19" t="s">
        <v>9</v>
      </c>
    </row>
    <row r="39" spans="1:6" x14ac:dyDescent="0.25">
      <c r="A39" s="44">
        <v>43497</v>
      </c>
      <c r="B39" s="1">
        <v>117.12</v>
      </c>
      <c r="C39" s="2">
        <f t="shared" si="1"/>
        <v>8.7855297157623628E-3</v>
      </c>
      <c r="D39" s="2">
        <f t="shared" si="2"/>
        <v>6.7639015496809493E-2</v>
      </c>
      <c r="E39" s="4">
        <f t="shared" si="3"/>
        <v>860.74112021857923</v>
      </c>
      <c r="F39" s="10" t="s">
        <v>9</v>
      </c>
    </row>
    <row r="40" spans="1:6" x14ac:dyDescent="0.25">
      <c r="A40" s="44">
        <v>43525</v>
      </c>
      <c r="B40" s="1">
        <v>119.5</v>
      </c>
      <c r="C40" s="2">
        <f t="shared" si="1"/>
        <v>2.032103825136608E-2</v>
      </c>
      <c r="D40" s="2">
        <f t="shared" si="2"/>
        <v>8.6363636363636365E-2</v>
      </c>
      <c r="E40" s="4">
        <f t="shared" si="3"/>
        <v>843.59832635983264</v>
      </c>
      <c r="F40" s="10" t="s">
        <v>9</v>
      </c>
    </row>
    <row r="41" spans="1:6" x14ac:dyDescent="0.25">
      <c r="A41" s="44">
        <v>43556</v>
      </c>
      <c r="B41" s="1">
        <v>120.3</v>
      </c>
      <c r="C41" s="2">
        <f t="shared" si="1"/>
        <v>6.6945606694560431E-3</v>
      </c>
      <c r="D41" s="2">
        <f t="shared" si="2"/>
        <v>8.2808280828082836E-2</v>
      </c>
      <c r="E41" s="4">
        <f t="shared" si="3"/>
        <v>837.9883624272652</v>
      </c>
      <c r="F41" s="8" t="s">
        <v>9</v>
      </c>
    </row>
    <row r="42" spans="1:6" x14ac:dyDescent="0.25">
      <c r="A42" s="44">
        <v>43586</v>
      </c>
      <c r="B42" s="1">
        <v>121.05</v>
      </c>
      <c r="C42" s="2">
        <f t="shared" si="1"/>
        <v>6.2344139650872821E-3</v>
      </c>
      <c r="D42" s="2">
        <f t="shared" si="2"/>
        <v>8.3706356311548741E-2</v>
      </c>
      <c r="E42" s="4">
        <f t="shared" si="3"/>
        <v>832.79636513837261</v>
      </c>
      <c r="F42" s="8" t="s">
        <v>9</v>
      </c>
    </row>
    <row r="43" spans="1:6" x14ac:dyDescent="0.25">
      <c r="A43" s="44">
        <v>43617</v>
      </c>
      <c r="B43" s="1">
        <v>121.6</v>
      </c>
      <c r="C43" s="2">
        <f t="shared" si="1"/>
        <v>4.5435770342833305E-3</v>
      </c>
      <c r="D43" s="2">
        <f t="shared" si="2"/>
        <v>7.9928952042628773E-2</v>
      </c>
      <c r="E43" s="4">
        <f t="shared" si="3"/>
        <v>829.02960526315792</v>
      </c>
      <c r="F43" s="8" t="s">
        <v>9</v>
      </c>
    </row>
    <row r="44" spans="1:6" x14ac:dyDescent="0.25">
      <c r="A44" s="44">
        <v>43647</v>
      </c>
      <c r="B44" s="1">
        <v>123.9</v>
      </c>
      <c r="C44" s="2">
        <f t="shared" si="1"/>
        <v>1.891447368421062E-2</v>
      </c>
      <c r="D44" s="2">
        <f t="shared" si="2"/>
        <v>8.398950131233604E-2</v>
      </c>
      <c r="E44" s="4">
        <f t="shared" si="3"/>
        <v>813.64003228410013</v>
      </c>
      <c r="F44" s="8" t="s">
        <v>9</v>
      </c>
    </row>
    <row r="45" spans="1:6" x14ac:dyDescent="0.25">
      <c r="A45" s="43">
        <v>43678</v>
      </c>
      <c r="B45" s="5">
        <v>125.9</v>
      </c>
      <c r="C45" s="6">
        <f t="shared" si="1"/>
        <v>1.6142050040355124E-2</v>
      </c>
      <c r="D45" s="6">
        <f t="shared" si="2"/>
        <v>0.10535557506584722</v>
      </c>
      <c r="E45" s="7">
        <f t="shared" si="3"/>
        <v>800.71485305798251</v>
      </c>
      <c r="F45" s="12" t="s">
        <v>9</v>
      </c>
    </row>
    <row r="46" spans="1:6" x14ac:dyDescent="0.25">
      <c r="A46" s="43">
        <v>43709</v>
      </c>
      <c r="B46" s="5">
        <v>126.86</v>
      </c>
      <c r="C46" s="6">
        <f t="shared" si="1"/>
        <v>7.625099285146892E-3</v>
      </c>
      <c r="D46" s="6">
        <f t="shared" si="2"/>
        <v>0.11378402107111495</v>
      </c>
      <c r="E46" s="7">
        <f t="shared" si="3"/>
        <v>794.65552577644644</v>
      </c>
      <c r="F46" s="11" t="s">
        <v>11</v>
      </c>
    </row>
    <row r="47" spans="1:6" x14ac:dyDescent="0.25">
      <c r="A47" s="44">
        <v>43739</v>
      </c>
      <c r="B47" s="1">
        <v>129.16</v>
      </c>
      <c r="C47" s="2">
        <f t="shared" si="1"/>
        <v>1.8130222292290693E-2</v>
      </c>
      <c r="D47" s="2">
        <f t="shared" si="2"/>
        <v>0.11057609630266552</v>
      </c>
      <c r="E47" s="4">
        <f t="shared" si="3"/>
        <v>780.50480024775482</v>
      </c>
      <c r="F47" s="8" t="s">
        <v>8</v>
      </c>
    </row>
    <row r="48" spans="1:6" x14ac:dyDescent="0.25">
      <c r="A48" s="44">
        <v>43770</v>
      </c>
      <c r="B48" s="1">
        <v>130.9</v>
      </c>
      <c r="C48" s="2">
        <f t="shared" si="1"/>
        <v>1.347166305357703E-2</v>
      </c>
      <c r="D48" s="2">
        <f t="shared" si="2"/>
        <v>0.12650602409638556</v>
      </c>
      <c r="E48" s="4">
        <f t="shared" si="3"/>
        <v>770.12987012987014</v>
      </c>
      <c r="F48" s="8" t="s">
        <v>8</v>
      </c>
    </row>
    <row r="49" spans="1:6" ht="15.75" thickBot="1" x14ac:dyDescent="0.3">
      <c r="A49" s="47">
        <v>43800</v>
      </c>
      <c r="B49" s="27">
        <v>130.44999999999999</v>
      </c>
      <c r="C49" s="28">
        <f t="shared" si="1"/>
        <v>-3.4377387318565091E-3</v>
      </c>
      <c r="D49" s="28">
        <f t="shared" si="2"/>
        <v>0.12651122625215883</v>
      </c>
      <c r="E49" s="29">
        <f t="shared" si="3"/>
        <v>772.78650824070542</v>
      </c>
      <c r="F49" s="23" t="s">
        <v>8</v>
      </c>
    </row>
    <row r="50" spans="1:6" ht="15.75" x14ac:dyDescent="0.25">
      <c r="A50" s="48">
        <v>43831</v>
      </c>
      <c r="B50" s="24">
        <v>133.03</v>
      </c>
      <c r="C50" s="25">
        <f t="shared" si="1"/>
        <v>1.9777692602529803E-2</v>
      </c>
      <c r="D50" s="25">
        <f t="shared" si="2"/>
        <v>0.14582256675279937</v>
      </c>
      <c r="E50" s="26">
        <f t="shared" si="3"/>
        <v>757.79899270841167</v>
      </c>
      <c r="F50" s="39" t="s">
        <v>8</v>
      </c>
    </row>
    <row r="51" spans="1:6" x14ac:dyDescent="0.25">
      <c r="A51" s="44">
        <v>43862</v>
      </c>
      <c r="B51" s="1">
        <v>131.63999999999999</v>
      </c>
      <c r="C51" s="2">
        <f t="shared" si="1"/>
        <v>-1.0448770953920279E-2</v>
      </c>
      <c r="D51" s="2">
        <f t="shared" si="2"/>
        <v>0.12397540983606542</v>
      </c>
      <c r="E51" s="4">
        <f t="shared" si="3"/>
        <v>765.80066848982085</v>
      </c>
      <c r="F51" s="8" t="s">
        <v>8</v>
      </c>
    </row>
    <row r="52" spans="1:6" ht="15.75" x14ac:dyDescent="0.25">
      <c r="A52" s="43">
        <v>43891</v>
      </c>
      <c r="B52" s="5">
        <v>131.69</v>
      </c>
      <c r="C52" s="6">
        <f t="shared" si="1"/>
        <v>3.7982376177462304E-4</v>
      </c>
      <c r="D52" s="6">
        <f t="shared" si="2"/>
        <v>0.10200836820083681</v>
      </c>
      <c r="E52" s="7">
        <f t="shared" si="3"/>
        <v>765.50990963626703</v>
      </c>
      <c r="F52" s="9" t="s">
        <v>8</v>
      </c>
    </row>
    <row r="53" spans="1:6" x14ac:dyDescent="0.25">
      <c r="A53" s="44">
        <v>43922</v>
      </c>
      <c r="B53" s="1">
        <v>130.59</v>
      </c>
      <c r="C53" s="2">
        <f t="shared" si="1"/>
        <v>-8.3529501101070273E-3</v>
      </c>
      <c r="D53" s="2">
        <f t="shared" si="2"/>
        <v>8.5536159600997558E-2</v>
      </c>
      <c r="E53" s="4">
        <f t="shared" si="3"/>
        <v>771.95803660310889</v>
      </c>
      <c r="F53" s="8" t="s">
        <v>8</v>
      </c>
    </row>
    <row r="54" spans="1:6" ht="45.75" x14ac:dyDescent="0.25">
      <c r="A54" s="43">
        <v>43952</v>
      </c>
      <c r="B54" s="5">
        <v>131.01</v>
      </c>
      <c r="C54" s="6">
        <f t="shared" si="1"/>
        <v>3.2161727544221417E-3</v>
      </c>
      <c r="D54" s="6">
        <f t="shared" si="2"/>
        <v>8.2280049566294866E-2</v>
      </c>
      <c r="E54" s="7">
        <f t="shared" si="3"/>
        <v>769.48324555377451</v>
      </c>
      <c r="F54" s="14" t="s">
        <v>14</v>
      </c>
    </row>
    <row r="55" spans="1:6" x14ac:dyDescent="0.25">
      <c r="A55" s="44">
        <v>43983</v>
      </c>
      <c r="B55" s="1">
        <v>132.08000000000001</v>
      </c>
      <c r="C55" s="2">
        <f t="shared" si="1"/>
        <v>8.1673154721015311E-3</v>
      </c>
      <c r="D55" s="2">
        <f t="shared" si="2"/>
        <v>8.6184210526315946E-2</v>
      </c>
      <c r="E55" s="4">
        <f t="shared" si="3"/>
        <v>763.24954572986064</v>
      </c>
      <c r="F55" s="8" t="s">
        <v>12</v>
      </c>
    </row>
    <row r="56" spans="1:6" x14ac:dyDescent="0.25">
      <c r="A56" s="44">
        <v>44013</v>
      </c>
      <c r="B56" s="1">
        <v>135.38</v>
      </c>
      <c r="C56" s="2">
        <f t="shared" si="1"/>
        <v>2.4984857662022884E-2</v>
      </c>
      <c r="D56" s="2">
        <f t="shared" si="2"/>
        <v>9.2655367231638336E-2</v>
      </c>
      <c r="E56" s="4">
        <f t="shared" si="3"/>
        <v>744.64470379672048</v>
      </c>
      <c r="F56" s="8" t="s">
        <v>12</v>
      </c>
    </row>
    <row r="57" spans="1:6" x14ac:dyDescent="0.25">
      <c r="A57" s="44">
        <v>44044</v>
      </c>
      <c r="B57" s="1">
        <v>136.22999999999999</v>
      </c>
      <c r="C57" s="2">
        <f t="shared" si="1"/>
        <v>6.278623134879556E-3</v>
      </c>
      <c r="D57" s="2">
        <f t="shared" si="2"/>
        <v>8.2049245432883111E-2</v>
      </c>
      <c r="E57" s="4">
        <f t="shared" si="3"/>
        <v>739.99853189459009</v>
      </c>
      <c r="F57" s="8" t="s">
        <v>12</v>
      </c>
    </row>
    <row r="58" spans="1:6" x14ac:dyDescent="0.25">
      <c r="A58" s="44">
        <v>44075</v>
      </c>
      <c r="B58" s="1">
        <v>138.32</v>
      </c>
      <c r="C58" s="2">
        <f t="shared" si="1"/>
        <v>1.534170153417018E-2</v>
      </c>
      <c r="D58" s="2">
        <f t="shared" si="2"/>
        <v>9.0335803247674554E-2</v>
      </c>
      <c r="E58" s="4">
        <f t="shared" si="3"/>
        <v>728.81723539618281</v>
      </c>
      <c r="F58" s="8" t="s">
        <v>12</v>
      </c>
    </row>
    <row r="59" spans="1:6" x14ac:dyDescent="0.25">
      <c r="A59" s="44">
        <v>44105</v>
      </c>
      <c r="B59" s="1">
        <v>140.66999999999999</v>
      </c>
      <c r="C59" s="2">
        <f t="shared" si="1"/>
        <v>1.6989589358010371E-2</v>
      </c>
      <c r="D59" s="2">
        <f t="shared" si="2"/>
        <v>8.9114276865902689E-2</v>
      </c>
      <c r="E59" s="4">
        <f t="shared" si="3"/>
        <v>716.64178573967456</v>
      </c>
      <c r="F59" s="8" t="s">
        <v>12</v>
      </c>
    </row>
    <row r="60" spans="1:6" x14ac:dyDescent="0.25">
      <c r="A60" s="44">
        <v>44136</v>
      </c>
      <c r="B60" s="1">
        <v>141.83000000000001</v>
      </c>
      <c r="C60" s="2">
        <f t="shared" si="1"/>
        <v>8.2462500888606325E-3</v>
      </c>
      <c r="D60" s="2">
        <f t="shared" si="2"/>
        <v>8.349885408708943E-2</v>
      </c>
      <c r="E60" s="4">
        <f t="shared" si="3"/>
        <v>710.78051188042014</v>
      </c>
      <c r="F60" s="8" t="s">
        <v>12</v>
      </c>
    </row>
    <row r="61" spans="1:6" ht="15.75" thickBot="1" x14ac:dyDescent="0.3">
      <c r="A61" s="47">
        <v>44166</v>
      </c>
      <c r="B61" s="27">
        <v>140.86000000000001</v>
      </c>
      <c r="C61" s="28">
        <f t="shared" si="1"/>
        <v>-6.8391736586053643E-3</v>
      </c>
      <c r="D61" s="28">
        <f t="shared" si="2"/>
        <v>7.9800689919509588E-2</v>
      </c>
      <c r="E61" s="29">
        <f t="shared" si="3"/>
        <v>715.67513843532583</v>
      </c>
      <c r="F61" s="23" t="s">
        <v>8</v>
      </c>
    </row>
    <row r="62" spans="1:6" x14ac:dyDescent="0.25">
      <c r="A62" s="48">
        <v>44197</v>
      </c>
      <c r="B62" s="24">
        <v>140.56</v>
      </c>
      <c r="C62" s="25">
        <f t="shared" si="1"/>
        <v>-2.1297742439302238E-3</v>
      </c>
      <c r="D62" s="25">
        <f t="shared" si="2"/>
        <v>5.6603773584905669E-2</v>
      </c>
      <c r="E62" s="26">
        <f t="shared" si="3"/>
        <v>717.20261809903241</v>
      </c>
      <c r="F62" s="19" t="s">
        <v>8</v>
      </c>
    </row>
    <row r="63" spans="1:6" x14ac:dyDescent="0.25">
      <c r="A63" s="44">
        <v>44228</v>
      </c>
      <c r="B63" s="1">
        <v>143.09</v>
      </c>
      <c r="C63" s="2">
        <f t="shared" si="1"/>
        <v>1.7999430848036433E-2</v>
      </c>
      <c r="D63" s="2">
        <f t="shared" si="2"/>
        <v>8.6979641446369022E-2</v>
      </c>
      <c r="E63" s="4">
        <f t="shared" si="3"/>
        <v>704.52162974351802</v>
      </c>
      <c r="F63" s="8" t="s">
        <v>8</v>
      </c>
    </row>
    <row r="64" spans="1:6" x14ac:dyDescent="0.25">
      <c r="A64" s="44">
        <v>44256</v>
      </c>
      <c r="B64" s="1">
        <v>143.61000000000001</v>
      </c>
      <c r="C64" s="2">
        <f t="shared" si="1"/>
        <v>3.6340764553778057E-3</v>
      </c>
      <c r="D64" s="2">
        <f t="shared" si="2"/>
        <v>9.0515604829524005E-2</v>
      </c>
      <c r="E64" s="4">
        <f t="shared" si="3"/>
        <v>701.97061485968936</v>
      </c>
      <c r="F64" s="8" t="s">
        <v>8</v>
      </c>
    </row>
    <row r="65" spans="1:7" ht="30" x14ac:dyDescent="0.25">
      <c r="A65" s="43">
        <v>44287</v>
      </c>
      <c r="B65" s="5">
        <v>145.09</v>
      </c>
      <c r="C65" s="6">
        <f t="shared" si="1"/>
        <v>1.030568901887048E-2</v>
      </c>
      <c r="D65" s="6">
        <f t="shared" si="2"/>
        <v>0.11103453556933915</v>
      </c>
      <c r="E65" s="7">
        <f t="shared" si="3"/>
        <v>694.81011785788132</v>
      </c>
      <c r="F65" s="11" t="s">
        <v>50</v>
      </c>
      <c r="G65" s="11" t="s">
        <v>47</v>
      </c>
    </row>
    <row r="66" spans="1:7" x14ac:dyDescent="0.25">
      <c r="A66" s="44">
        <v>44317</v>
      </c>
      <c r="B66" s="1">
        <v>145.24</v>
      </c>
      <c r="C66" s="2">
        <f t="shared" si="1"/>
        <v>1.0338410641671078E-3</v>
      </c>
      <c r="D66" s="2">
        <f t="shared" si="2"/>
        <v>0.10861766277383421</v>
      </c>
      <c r="E66" s="4">
        <f t="shared" si="3"/>
        <v>694.09253649132461</v>
      </c>
      <c r="F66" s="8" t="s">
        <v>8</v>
      </c>
    </row>
    <row r="67" spans="1:7" x14ac:dyDescent="0.25">
      <c r="A67" s="44">
        <v>44348</v>
      </c>
      <c r="B67" s="1">
        <v>144.82</v>
      </c>
      <c r="C67" s="2">
        <f t="shared" si="1"/>
        <v>-2.8917653538971075E-3</v>
      </c>
      <c r="D67" s="2">
        <f t="shared" si="2"/>
        <v>9.6456692913385669E-2</v>
      </c>
      <c r="E67" s="4">
        <f t="shared" ref="E67:E98" si="4">$E$2*($B$2/B67)</f>
        <v>696.10551028863426</v>
      </c>
      <c r="F67" s="8" t="s">
        <v>8</v>
      </c>
    </row>
    <row r="68" spans="1:7" x14ac:dyDescent="0.25">
      <c r="A68" s="44">
        <v>44378</v>
      </c>
      <c r="B68" s="1">
        <v>146.76</v>
      </c>
      <c r="C68" s="2">
        <f t="shared" ref="C68:C121" si="5">(B68-B67)/B67</f>
        <v>1.3395939787322179E-2</v>
      </c>
      <c r="D68" s="2">
        <f t="shared" si="2"/>
        <v>8.4059683852858585E-2</v>
      </c>
      <c r="E68" s="4">
        <f t="shared" si="4"/>
        <v>686.90378849822844</v>
      </c>
      <c r="F68" s="8" t="s">
        <v>8</v>
      </c>
    </row>
    <row r="69" spans="1:7" x14ac:dyDescent="0.25">
      <c r="A69" s="44">
        <v>44409</v>
      </c>
      <c r="B69" s="1">
        <v>147.61000000000001</v>
      </c>
      <c r="C69" s="2">
        <f t="shared" si="5"/>
        <v>5.7917688743528402E-3</v>
      </c>
      <c r="D69" s="2">
        <f t="shared" si="2"/>
        <v>8.3535197827204172E-2</v>
      </c>
      <c r="E69" s="4">
        <f t="shared" si="4"/>
        <v>682.94830973511273</v>
      </c>
      <c r="F69" s="8" t="s">
        <v>8</v>
      </c>
    </row>
    <row r="70" spans="1:7" x14ac:dyDescent="0.25">
      <c r="A70" s="44">
        <v>44440</v>
      </c>
      <c r="B70" s="1">
        <v>150.74</v>
      </c>
      <c r="C70" s="2">
        <f t="shared" si="5"/>
        <v>2.1204525438655884E-2</v>
      </c>
      <c r="D70" s="2">
        <f t="shared" si="2"/>
        <v>8.9791787160208331E-2</v>
      </c>
      <c r="E70" s="4">
        <f t="shared" si="4"/>
        <v>668.76741409048691</v>
      </c>
      <c r="F70" s="8" t="s">
        <v>8</v>
      </c>
    </row>
    <row r="71" spans="1:7" x14ac:dyDescent="0.25">
      <c r="A71" s="44">
        <v>44470</v>
      </c>
      <c r="B71" s="1">
        <v>153.61000000000001</v>
      </c>
      <c r="C71" s="2">
        <f t="shared" si="5"/>
        <v>1.9039405599044743E-2</v>
      </c>
      <c r="D71" s="2">
        <f t="shared" si="2"/>
        <v>9.1988341508495247E-2</v>
      </c>
      <c r="E71" s="4">
        <f t="shared" si="4"/>
        <v>656.27237810038412</v>
      </c>
      <c r="F71" s="8" t="s">
        <v>8</v>
      </c>
    </row>
    <row r="72" spans="1:7" x14ac:dyDescent="0.25">
      <c r="A72" s="44">
        <v>44501</v>
      </c>
      <c r="B72" s="1">
        <v>158.18</v>
      </c>
      <c r="C72" s="2">
        <f t="shared" si="5"/>
        <v>2.9750667274265952E-2</v>
      </c>
      <c r="D72" s="2">
        <f t="shared" si="2"/>
        <v>0.11527885496721423</v>
      </c>
      <c r="E72" s="4">
        <f t="shared" si="4"/>
        <v>637.31192312555322</v>
      </c>
      <c r="F72" s="8" t="s">
        <v>8</v>
      </c>
    </row>
    <row r="73" spans="1:7" ht="31.5" thickBot="1" x14ac:dyDescent="0.3">
      <c r="A73" s="47">
        <v>44531</v>
      </c>
      <c r="B73" s="27">
        <v>158.16</v>
      </c>
      <c r="C73" s="28">
        <f t="shared" si="5"/>
        <v>-1.2643823492230517E-4</v>
      </c>
      <c r="D73" s="28">
        <f t="shared" si="2"/>
        <v>0.12281698139997146</v>
      </c>
      <c r="E73" s="29">
        <f t="shared" si="4"/>
        <v>637.39251390996469</v>
      </c>
      <c r="F73" s="41" t="s">
        <v>13</v>
      </c>
    </row>
    <row r="74" spans="1:7" ht="15.75" x14ac:dyDescent="0.25">
      <c r="A74" s="48">
        <v>44562</v>
      </c>
      <c r="B74" s="24">
        <v>158.78</v>
      </c>
      <c r="C74" s="25">
        <f t="shared" si="5"/>
        <v>3.9200809307031147E-3</v>
      </c>
      <c r="D74" s="25">
        <f t="shared" si="2"/>
        <v>0.12962435970404096</v>
      </c>
      <c r="E74" s="26">
        <f t="shared" si="4"/>
        <v>634.90364025695931</v>
      </c>
      <c r="F74" s="40" t="s">
        <v>16</v>
      </c>
    </row>
    <row r="75" spans="1:7" ht="45.75" x14ac:dyDescent="0.25">
      <c r="A75" s="43">
        <v>44593</v>
      </c>
      <c r="B75" s="5">
        <v>160.61000000000001</v>
      </c>
      <c r="C75" s="6">
        <f t="shared" si="5"/>
        <v>1.1525381030356547E-2</v>
      </c>
      <c r="D75" s="6">
        <f t="shared" si="2"/>
        <v>0.12244042211195758</v>
      </c>
      <c r="E75" s="7">
        <f t="shared" si="4"/>
        <v>627.66950999315111</v>
      </c>
      <c r="F75" s="12" t="s">
        <v>28</v>
      </c>
    </row>
    <row r="76" spans="1:7" x14ac:dyDescent="0.25">
      <c r="A76" s="44">
        <v>44621</v>
      </c>
      <c r="B76" s="1">
        <v>161.88</v>
      </c>
      <c r="C76" s="2">
        <f t="shared" si="5"/>
        <v>7.9073532158644034E-3</v>
      </c>
      <c r="D76" s="2">
        <f t="shared" si="2"/>
        <v>0.12721955295592216</v>
      </c>
      <c r="E76" s="4">
        <f t="shared" si="4"/>
        <v>622.74524339016557</v>
      </c>
      <c r="F76" s="8" t="s">
        <v>17</v>
      </c>
    </row>
    <row r="77" spans="1:7" x14ac:dyDescent="0.25">
      <c r="A77" s="44">
        <v>44652</v>
      </c>
      <c r="B77" s="1">
        <v>164.5</v>
      </c>
      <c r="C77" s="2">
        <f t="shared" si="5"/>
        <v>1.6184828267852759E-2</v>
      </c>
      <c r="D77" s="2">
        <f t="shared" si="2"/>
        <v>0.13377903370321867</v>
      </c>
      <c r="E77" s="4">
        <f t="shared" si="4"/>
        <v>612.82674772036466</v>
      </c>
      <c r="F77" s="8" t="s">
        <v>17</v>
      </c>
    </row>
    <row r="78" spans="1:7" x14ac:dyDescent="0.25">
      <c r="A78" s="44">
        <v>44682</v>
      </c>
      <c r="B78" s="1">
        <v>165.23</v>
      </c>
      <c r="C78" s="2">
        <f t="shared" si="5"/>
        <v>4.4376899696048008E-3</v>
      </c>
      <c r="D78" s="2">
        <f t="shared" si="2"/>
        <v>0.13763426053428793</v>
      </c>
      <c r="E78" s="4">
        <f t="shared" si="4"/>
        <v>610.11922774314598</v>
      </c>
      <c r="F78" s="8" t="s">
        <v>17</v>
      </c>
    </row>
    <row r="79" spans="1:7" ht="45" x14ac:dyDescent="0.25">
      <c r="A79" s="43">
        <v>44713</v>
      </c>
      <c r="B79" s="5">
        <v>175.71</v>
      </c>
      <c r="C79" s="13">
        <f t="shared" si="5"/>
        <v>6.3426738485747258E-2</v>
      </c>
      <c r="D79" s="6">
        <f t="shared" ref="D79:D121" si="6">(B79-B67)/B67</f>
        <v>0.21329926805689833</v>
      </c>
      <c r="E79" s="7">
        <f t="shared" si="4"/>
        <v>573.72944055546077</v>
      </c>
      <c r="F79" s="37" t="s">
        <v>18</v>
      </c>
    </row>
    <row r="80" spans="1:7" ht="15.75" x14ac:dyDescent="0.25">
      <c r="A80" s="43">
        <v>44743</v>
      </c>
      <c r="B80" s="5">
        <v>183.35</v>
      </c>
      <c r="C80" s="6">
        <f t="shared" si="5"/>
        <v>4.3480735302486972E-2</v>
      </c>
      <c r="D80" s="6">
        <f t="shared" si="6"/>
        <v>0.24931861542654679</v>
      </c>
      <c r="E80" s="7">
        <f t="shared" si="4"/>
        <v>549.82274338696482</v>
      </c>
      <c r="F80" s="38" t="s">
        <v>19</v>
      </c>
    </row>
    <row r="81" spans="1:7" x14ac:dyDescent="0.25">
      <c r="A81" s="44">
        <v>44774</v>
      </c>
      <c r="B81" s="1">
        <v>187.84</v>
      </c>
      <c r="C81" s="2">
        <f t="shared" si="5"/>
        <v>2.4488682847013957E-2</v>
      </c>
      <c r="D81" s="2">
        <f t="shared" si="6"/>
        <v>0.27254251067000873</v>
      </c>
      <c r="E81" s="4">
        <f t="shared" si="4"/>
        <v>536.68015332197615</v>
      </c>
      <c r="F81" s="8" t="s">
        <v>19</v>
      </c>
    </row>
    <row r="82" spans="1:7" x14ac:dyDescent="0.25">
      <c r="A82" s="44">
        <v>44805</v>
      </c>
      <c r="B82" s="1">
        <v>185.68</v>
      </c>
      <c r="C82" s="2">
        <f t="shared" si="5"/>
        <v>-1.1499148211243593E-2</v>
      </c>
      <c r="D82" s="2">
        <f t="shared" si="6"/>
        <v>0.23178983680509482</v>
      </c>
      <c r="E82" s="4">
        <f t="shared" si="4"/>
        <v>542.92330891856955</v>
      </c>
      <c r="F82" s="14" t="s">
        <v>19</v>
      </c>
    </row>
    <row r="83" spans="1:7" x14ac:dyDescent="0.25">
      <c r="A83" s="44">
        <v>44835</v>
      </c>
      <c r="B83" s="1">
        <v>194.42</v>
      </c>
      <c r="C83" s="2">
        <f t="shared" si="5"/>
        <v>4.70702283498491E-2</v>
      </c>
      <c r="D83" s="2">
        <f t="shared" si="6"/>
        <v>0.26567280775991126</v>
      </c>
      <c r="E83" s="4">
        <f t="shared" si="4"/>
        <v>518.51661351712801</v>
      </c>
      <c r="F83" s="8" t="s">
        <v>19</v>
      </c>
    </row>
    <row r="84" spans="1:7" x14ac:dyDescent="0.25">
      <c r="A84" s="44">
        <v>44866</v>
      </c>
      <c r="B84" s="1">
        <v>195.89</v>
      </c>
      <c r="C84" s="2">
        <f t="shared" si="5"/>
        <v>7.5609505194938736E-3</v>
      </c>
      <c r="D84" s="2">
        <f t="shared" si="6"/>
        <v>0.2383992919458843</v>
      </c>
      <c r="E84" s="4">
        <f t="shared" si="4"/>
        <v>514.62555515850738</v>
      </c>
      <c r="F84" s="8" t="s">
        <v>19</v>
      </c>
    </row>
    <row r="85" spans="1:7" ht="15.75" thickBot="1" x14ac:dyDescent="0.3">
      <c r="A85" s="47">
        <v>44896</v>
      </c>
      <c r="B85" s="27">
        <v>196.86</v>
      </c>
      <c r="C85" s="28">
        <f t="shared" si="5"/>
        <v>4.9517586400532306E-3</v>
      </c>
      <c r="D85" s="28">
        <f t="shared" si="6"/>
        <v>0.24468892261001529</v>
      </c>
      <c r="E85" s="29">
        <f t="shared" si="4"/>
        <v>512.08981001727113</v>
      </c>
      <c r="F85" s="23" t="s">
        <v>19</v>
      </c>
    </row>
    <row r="86" spans="1:7" x14ac:dyDescent="0.25">
      <c r="A86" s="48">
        <v>44927</v>
      </c>
      <c r="B86" s="24">
        <v>202.53</v>
      </c>
      <c r="C86" s="25">
        <f t="shared" si="5"/>
        <v>2.8802194452910632E-2</v>
      </c>
      <c r="D86" s="25">
        <f t="shared" si="6"/>
        <v>0.27553848091699207</v>
      </c>
      <c r="E86" s="26">
        <f t="shared" si="4"/>
        <v>497.75341924653139</v>
      </c>
      <c r="F86" s="19" t="s">
        <v>17</v>
      </c>
    </row>
    <row r="87" spans="1:7" x14ac:dyDescent="0.25">
      <c r="A87" s="44">
        <v>44958</v>
      </c>
      <c r="B87" s="1">
        <v>211.28</v>
      </c>
      <c r="C87" s="2">
        <f t="shared" si="5"/>
        <v>4.3203476028242732E-2</v>
      </c>
      <c r="D87" s="2">
        <f t="shared" si="6"/>
        <v>0.31548471452587001</v>
      </c>
      <c r="E87" s="4">
        <f t="shared" si="4"/>
        <v>477.13934115865203</v>
      </c>
      <c r="F87" s="8" t="s">
        <v>19</v>
      </c>
    </row>
    <row r="88" spans="1:7" x14ac:dyDescent="0.25">
      <c r="A88" s="44">
        <v>44986</v>
      </c>
      <c r="B88" s="1">
        <v>219.14</v>
      </c>
      <c r="C88" s="2">
        <f t="shared" si="5"/>
        <v>3.7201817493373653E-2</v>
      </c>
      <c r="D88" s="2">
        <f t="shared" si="6"/>
        <v>0.35371880405238443</v>
      </c>
      <c r="E88" s="4">
        <f t="shared" si="4"/>
        <v>460.02555444008402</v>
      </c>
      <c r="F88" s="8" t="s">
        <v>19</v>
      </c>
    </row>
    <row r="89" spans="1:7" ht="30.75" x14ac:dyDescent="0.25">
      <c r="A89" s="43">
        <v>45017</v>
      </c>
      <c r="B89" s="5">
        <v>224.41</v>
      </c>
      <c r="C89" s="6">
        <f t="shared" si="5"/>
        <v>2.4048553436159581E-2</v>
      </c>
      <c r="D89" s="6">
        <f t="shared" si="6"/>
        <v>0.3641945288753799</v>
      </c>
      <c r="E89" s="7">
        <f t="shared" si="4"/>
        <v>449.22240541865341</v>
      </c>
      <c r="F89" s="34" t="s">
        <v>20</v>
      </c>
    </row>
    <row r="90" spans="1:7" ht="47.25" x14ac:dyDescent="0.25">
      <c r="A90" s="43">
        <v>45047</v>
      </c>
      <c r="B90" s="5">
        <v>227.96</v>
      </c>
      <c r="C90" s="6">
        <f t="shared" si="5"/>
        <v>1.5819259391292775E-2</v>
      </c>
      <c r="D90" s="13">
        <f>(B90-B78)/B78</f>
        <v>0.37965260545905721</v>
      </c>
      <c r="E90" s="7">
        <f t="shared" si="4"/>
        <v>442.22670643972629</v>
      </c>
      <c r="F90" s="36" t="s">
        <v>21</v>
      </c>
      <c r="G90" s="11" t="s">
        <v>48</v>
      </c>
    </row>
    <row r="91" spans="1:7" x14ac:dyDescent="0.25">
      <c r="A91" s="44">
        <v>45078</v>
      </c>
      <c r="B91" s="1">
        <v>227.37</v>
      </c>
      <c r="C91" s="2">
        <f t="shared" si="5"/>
        <v>-2.5881733637480408E-3</v>
      </c>
      <c r="D91" s="2">
        <f t="shared" si="6"/>
        <v>0.29400717090660744</v>
      </c>
      <c r="E91" s="4">
        <f t="shared" si="4"/>
        <v>443.37423582706606</v>
      </c>
      <c r="F91" s="8" t="s">
        <v>23</v>
      </c>
    </row>
    <row r="92" spans="1:7" x14ac:dyDescent="0.25">
      <c r="A92" s="43">
        <v>45108</v>
      </c>
      <c r="B92" s="5">
        <v>235.23</v>
      </c>
      <c r="C92" s="6">
        <f t="shared" si="5"/>
        <v>3.4569204380525069E-2</v>
      </c>
      <c r="D92" s="6">
        <f t="shared" si="6"/>
        <v>0.28295609490046358</v>
      </c>
      <c r="E92" s="7">
        <f t="shared" si="4"/>
        <v>428.55928240445525</v>
      </c>
      <c r="F92" s="14" t="s">
        <v>22</v>
      </c>
    </row>
    <row r="93" spans="1:7" x14ac:dyDescent="0.25">
      <c r="A93" s="44">
        <v>45139</v>
      </c>
      <c r="B93" s="1">
        <v>239.27</v>
      </c>
      <c r="C93" s="2">
        <f t="shared" si="5"/>
        <v>1.7174680100327428E-2</v>
      </c>
      <c r="D93" s="2">
        <f t="shared" si="6"/>
        <v>0.2737968483816014</v>
      </c>
      <c r="E93" s="4">
        <f t="shared" si="4"/>
        <v>421.32319137376186</v>
      </c>
      <c r="F93" s="8" t="s">
        <v>24</v>
      </c>
    </row>
    <row r="94" spans="1:7" x14ac:dyDescent="0.25">
      <c r="A94" s="44">
        <v>45170</v>
      </c>
      <c r="B94" s="1">
        <v>224.05</v>
      </c>
      <c r="C94" s="2">
        <f t="shared" si="5"/>
        <v>-6.3610147532076722E-2</v>
      </c>
      <c r="D94" s="2">
        <f t="shared" si="6"/>
        <v>0.20664584230934943</v>
      </c>
      <c r="E94" s="4">
        <f t="shared" si="4"/>
        <v>449.944208881946</v>
      </c>
      <c r="F94" s="14" t="s">
        <v>25</v>
      </c>
    </row>
    <row r="95" spans="1:7" x14ac:dyDescent="0.25">
      <c r="A95" s="44">
        <v>45200</v>
      </c>
      <c r="B95" s="1">
        <v>246.5</v>
      </c>
      <c r="C95" s="2">
        <f t="shared" si="5"/>
        <v>0.10020084802499436</v>
      </c>
      <c r="D95" s="2">
        <f t="shared" si="6"/>
        <v>0.26787367554778324</v>
      </c>
      <c r="E95" s="4">
        <f t="shared" si="4"/>
        <v>408.9655172413793</v>
      </c>
      <c r="F95" s="14" t="s">
        <v>26</v>
      </c>
    </row>
    <row r="96" spans="1:7" x14ac:dyDescent="0.25">
      <c r="A96" s="44">
        <v>45231</v>
      </c>
      <c r="B96" s="1">
        <v>253.15</v>
      </c>
      <c r="C96" s="2">
        <f t="shared" si="5"/>
        <v>2.6977687626774872E-2</v>
      </c>
      <c r="D96" s="2">
        <f t="shared" si="6"/>
        <v>0.29230690693756711</v>
      </c>
      <c r="E96" s="4">
        <f t="shared" si="4"/>
        <v>398.22239778787281</v>
      </c>
      <c r="F96" s="8" t="s">
        <v>24</v>
      </c>
    </row>
    <row r="97" spans="1:6" ht="15.75" thickBot="1" x14ac:dyDescent="0.3">
      <c r="A97" s="47">
        <v>45261</v>
      </c>
      <c r="B97" s="27">
        <v>255.24</v>
      </c>
      <c r="C97" s="28">
        <f t="shared" si="5"/>
        <v>8.2559747185463293E-3</v>
      </c>
      <c r="D97" s="28">
        <f t="shared" si="6"/>
        <v>0.29655592807071013</v>
      </c>
      <c r="E97" s="29">
        <f t="shared" si="4"/>
        <v>394.96160476414354</v>
      </c>
      <c r="F97" s="23" t="s">
        <v>24</v>
      </c>
    </row>
    <row r="98" spans="1:6" ht="15.75" x14ac:dyDescent="0.25">
      <c r="A98" s="48">
        <v>45292</v>
      </c>
      <c r="B98" s="24">
        <v>259.92</v>
      </c>
      <c r="C98" s="25">
        <f t="shared" si="5"/>
        <v>1.8335684062059265E-2</v>
      </c>
      <c r="D98" s="25">
        <f t="shared" si="6"/>
        <v>0.28336542734409725</v>
      </c>
      <c r="E98" s="26">
        <f t="shared" si="4"/>
        <v>387.850107725454</v>
      </c>
      <c r="F98" s="39" t="s">
        <v>24</v>
      </c>
    </row>
    <row r="99" spans="1:6" ht="30.75" x14ac:dyDescent="0.25">
      <c r="A99" s="43">
        <v>45323</v>
      </c>
      <c r="B99" s="5">
        <v>260.01</v>
      </c>
      <c r="C99" s="15">
        <f t="shared" si="5"/>
        <v>3.4626038781153813E-4</v>
      </c>
      <c r="D99" s="6">
        <f t="shared" si="6"/>
        <v>0.23064180234759557</v>
      </c>
      <c r="E99" s="7">
        <f t="shared" ref="E99:E121" si="7">$E$2*($B$2/B99)</f>
        <v>387.71585708241997</v>
      </c>
      <c r="F99" s="33" t="s">
        <v>27</v>
      </c>
    </row>
    <row r="100" spans="1:6" ht="63" x14ac:dyDescent="0.25">
      <c r="A100" s="43">
        <v>45352</v>
      </c>
      <c r="B100" s="5">
        <v>264.45999999999998</v>
      </c>
      <c r="C100" s="6">
        <f t="shared" si="5"/>
        <v>1.7114726356678545E-2</v>
      </c>
      <c r="D100" s="6">
        <f t="shared" si="6"/>
        <v>0.20680843296522769</v>
      </c>
      <c r="E100" s="7">
        <f t="shared" si="7"/>
        <v>381.1918626635408</v>
      </c>
      <c r="F100" s="35" t="s">
        <v>32</v>
      </c>
    </row>
    <row r="101" spans="1:6" x14ac:dyDescent="0.25">
      <c r="A101" s="44">
        <v>45383</v>
      </c>
      <c r="B101" s="1">
        <v>263.32</v>
      </c>
      <c r="C101" s="2">
        <f t="shared" si="5"/>
        <v>-4.3106708008772083E-3</v>
      </c>
      <c r="D101" s="2">
        <f t="shared" si="6"/>
        <v>0.17338799518738024</v>
      </c>
      <c r="E101" s="4">
        <f t="shared" si="7"/>
        <v>382.84216922375816</v>
      </c>
      <c r="F101" s="14" t="s">
        <v>33</v>
      </c>
    </row>
    <row r="102" spans="1:6" x14ac:dyDescent="0.25">
      <c r="A102" s="44">
        <v>45413</v>
      </c>
      <c r="B102" s="1">
        <v>254.78</v>
      </c>
      <c r="C102" s="2">
        <f t="shared" si="5"/>
        <v>-3.2432021874525263E-2</v>
      </c>
      <c r="D102" s="2">
        <f t="shared" si="6"/>
        <v>0.11765221968766447</v>
      </c>
      <c r="E102" s="4">
        <f t="shared" si="7"/>
        <v>395.67469974095297</v>
      </c>
      <c r="F102" s="8" t="s">
        <v>42</v>
      </c>
    </row>
    <row r="103" spans="1:6" ht="30" x14ac:dyDescent="0.25">
      <c r="A103" s="43">
        <v>45444</v>
      </c>
      <c r="B103" s="5">
        <v>255.94</v>
      </c>
      <c r="C103" s="6">
        <f t="shared" si="5"/>
        <v>4.552947641102114E-3</v>
      </c>
      <c r="D103" s="6">
        <f t="shared" si="6"/>
        <v>0.1256542199938426</v>
      </c>
      <c r="E103" s="7">
        <f t="shared" si="7"/>
        <v>393.8813784480738</v>
      </c>
      <c r="F103" s="11" t="s">
        <v>34</v>
      </c>
    </row>
    <row r="104" spans="1:6" x14ac:dyDescent="0.25">
      <c r="A104" s="44">
        <v>45474</v>
      </c>
      <c r="B104" s="1">
        <v>261.32</v>
      </c>
      <c r="C104" s="2">
        <f t="shared" si="5"/>
        <v>2.1020551691802749E-2</v>
      </c>
      <c r="D104" s="2">
        <f t="shared" si="6"/>
        <v>0.11091272371721296</v>
      </c>
      <c r="E104" s="4">
        <f t="shared" si="7"/>
        <v>385.77223327720804</v>
      </c>
      <c r="F104" s="8" t="s">
        <v>43</v>
      </c>
    </row>
    <row r="105" spans="1:6" x14ac:dyDescent="0.25">
      <c r="A105" s="44">
        <v>45505</v>
      </c>
      <c r="B105" s="1">
        <v>262.32</v>
      </c>
      <c r="C105" s="2">
        <f t="shared" si="5"/>
        <v>3.8267258533598654E-3</v>
      </c>
      <c r="D105" s="2">
        <f t="shared" si="6"/>
        <v>9.633468466585858E-2</v>
      </c>
      <c r="E105" s="4">
        <f t="shared" si="7"/>
        <v>384.30161634644713</v>
      </c>
      <c r="F105" s="8" t="s">
        <v>43</v>
      </c>
    </row>
    <row r="106" spans="1:6" x14ac:dyDescent="0.25">
      <c r="A106" s="44">
        <v>45536</v>
      </c>
      <c r="B106" s="1">
        <v>260.95999999999998</v>
      </c>
      <c r="C106" s="2">
        <f t="shared" si="5"/>
        <v>-5.1845074717902324E-3</v>
      </c>
      <c r="D106" s="2">
        <f t="shared" si="6"/>
        <v>0.16474001338986818</v>
      </c>
      <c r="E106" s="4">
        <f t="shared" si="7"/>
        <v>386.30441446965057</v>
      </c>
      <c r="F106" s="8" t="s">
        <v>35</v>
      </c>
    </row>
    <row r="107" spans="1:6" x14ac:dyDescent="0.25">
      <c r="A107" s="44">
        <v>45566</v>
      </c>
      <c r="B107" s="1">
        <v>264.17</v>
      </c>
      <c r="C107" s="2">
        <f t="shared" si="5"/>
        <v>1.2300735744941893E-2</v>
      </c>
      <c r="D107" s="2">
        <f t="shared" si="6"/>
        <v>7.1683569979716089E-2</v>
      </c>
      <c r="E107" s="4">
        <f t="shared" si="7"/>
        <v>381.61032668357495</v>
      </c>
      <c r="F107" s="8" t="s">
        <v>43</v>
      </c>
    </row>
    <row r="108" spans="1:6" x14ac:dyDescent="0.25">
      <c r="A108" s="44">
        <v>45597</v>
      </c>
      <c r="B108" s="1">
        <v>265.45999999999998</v>
      </c>
      <c r="C108" s="2">
        <f t="shared" si="5"/>
        <v>4.8832191391905344E-3</v>
      </c>
      <c r="D108" s="2">
        <f t="shared" si="6"/>
        <v>4.8627296069523894E-2</v>
      </c>
      <c r="E108" s="4">
        <f t="shared" si="7"/>
        <v>379.75589542680632</v>
      </c>
      <c r="F108" s="8" t="s">
        <v>43</v>
      </c>
    </row>
    <row r="109" spans="1:6" ht="15.75" thickBot="1" x14ac:dyDescent="0.3">
      <c r="A109" s="47">
        <v>45627</v>
      </c>
      <c r="B109" s="27">
        <v>265.63</v>
      </c>
      <c r="C109" s="28">
        <f t="shared" si="5"/>
        <v>6.4039780004526454E-4</v>
      </c>
      <c r="D109" s="28">
        <f t="shared" si="6"/>
        <v>4.070678577025539E-2</v>
      </c>
      <c r="E109" s="29">
        <f t="shared" si="7"/>
        <v>379.51285622858865</v>
      </c>
      <c r="F109" s="23" t="s">
        <v>43</v>
      </c>
    </row>
    <row r="110" spans="1:6" x14ac:dyDescent="0.25">
      <c r="A110" s="48">
        <v>45658</v>
      </c>
      <c r="B110" s="24">
        <v>266.17</v>
      </c>
      <c r="C110" s="25">
        <f t="shared" si="5"/>
        <v>2.0329029100629465E-3</v>
      </c>
      <c r="D110" s="25">
        <f t="shared" si="6"/>
        <v>2.4045860264696829E-2</v>
      </c>
      <c r="E110" s="26">
        <f t="shared" si="7"/>
        <v>378.74290866739301</v>
      </c>
      <c r="F110" s="19" t="s">
        <v>43</v>
      </c>
    </row>
    <row r="111" spans="1:6" x14ac:dyDescent="0.25">
      <c r="A111" s="44">
        <v>45689</v>
      </c>
      <c r="B111" s="1">
        <v>263.95</v>
      </c>
      <c r="C111" s="2">
        <f t="shared" si="5"/>
        <v>-8.3405342450314727E-3</v>
      </c>
      <c r="D111" s="2">
        <f t="shared" si="6"/>
        <v>1.5153263336025529E-2</v>
      </c>
      <c r="E111" s="4">
        <f t="shared" si="7"/>
        <v>381.92839552945634</v>
      </c>
      <c r="F111" s="8" t="s">
        <v>36</v>
      </c>
    </row>
    <row r="112" spans="1:6" x14ac:dyDescent="0.25">
      <c r="A112" s="44">
        <v>45717</v>
      </c>
      <c r="B112" s="1">
        <v>266.29000000000002</v>
      </c>
      <c r="C112" s="2">
        <f t="shared" si="5"/>
        <v>8.8653154006441831E-3</v>
      </c>
      <c r="D112" s="2">
        <f t="shared" si="6"/>
        <v>6.9197610224610191E-3</v>
      </c>
      <c r="E112" s="4">
        <f t="shared" si="7"/>
        <v>378.57223327950726</v>
      </c>
      <c r="F112" s="8" t="s">
        <v>43</v>
      </c>
    </row>
    <row r="113" spans="1:7" x14ac:dyDescent="0.25">
      <c r="A113" s="44">
        <v>45748</v>
      </c>
      <c r="B113" s="1">
        <v>264.06</v>
      </c>
      <c r="C113" s="2">
        <f t="shared" si="5"/>
        <v>-8.3743287393443916E-3</v>
      </c>
      <c r="D113" s="2">
        <f t="shared" si="6"/>
        <v>2.8102688743734208E-3</v>
      </c>
      <c r="E113" s="4">
        <f t="shared" si="7"/>
        <v>381.76929485722945</v>
      </c>
      <c r="F113" s="8" t="s">
        <v>36</v>
      </c>
    </row>
    <row r="114" spans="1:7" x14ac:dyDescent="0.25">
      <c r="A114" s="44">
        <v>45778</v>
      </c>
      <c r="B114" s="1">
        <v>263.60000000000002</v>
      </c>
      <c r="C114" s="2">
        <f t="shared" si="5"/>
        <v>-1.7420283268953251E-3</v>
      </c>
      <c r="D114" s="2">
        <f t="shared" si="6"/>
        <v>3.4618101891828332E-2</v>
      </c>
      <c r="E114" s="4">
        <f t="shared" si="7"/>
        <v>382.43550834597875</v>
      </c>
      <c r="F114" s="8" t="s">
        <v>38</v>
      </c>
    </row>
    <row r="115" spans="1:7" x14ac:dyDescent="0.25">
      <c r="A115" s="44">
        <v>45809</v>
      </c>
      <c r="B115" s="1">
        <v>264.22000000000003</v>
      </c>
      <c r="C115" s="2">
        <f t="shared" si="5"/>
        <v>2.3520485584218685E-3</v>
      </c>
      <c r="D115" s="2">
        <f t="shared" si="6"/>
        <v>3.2351332343518127E-2</v>
      </c>
      <c r="E115" s="4">
        <f t="shared" si="7"/>
        <v>381.53811217924454</v>
      </c>
      <c r="F115" s="8" t="s">
        <v>43</v>
      </c>
    </row>
    <row r="116" spans="1:7" x14ac:dyDescent="0.25">
      <c r="A116" s="44">
        <v>45839</v>
      </c>
      <c r="B116" s="1">
        <v>271.94</v>
      </c>
      <c r="C116" s="2">
        <f t="shared" si="5"/>
        <v>2.9218075845885889E-2</v>
      </c>
      <c r="D116" s="2">
        <f t="shared" si="6"/>
        <v>4.0639828562681786E-2</v>
      </c>
      <c r="E116" s="4">
        <f t="shared" si="7"/>
        <v>370.70677355298966</v>
      </c>
      <c r="F116" s="8" t="s">
        <v>43</v>
      </c>
    </row>
    <row r="117" spans="1:7" x14ac:dyDescent="0.25">
      <c r="A117" s="44">
        <v>45870</v>
      </c>
      <c r="B117" s="1">
        <v>270.18</v>
      </c>
      <c r="C117" s="2">
        <f t="shared" si="5"/>
        <v>-6.4720158858571413E-3</v>
      </c>
      <c r="D117" s="2">
        <f t="shared" si="6"/>
        <v>2.9963403476669769E-2</v>
      </c>
      <c r="E117" s="4">
        <f t="shared" si="7"/>
        <v>373.12162262195574</v>
      </c>
      <c r="F117" s="8" t="s">
        <v>37</v>
      </c>
    </row>
    <row r="118" spans="1:7" x14ac:dyDescent="0.25">
      <c r="A118" s="44">
        <v>45901</v>
      </c>
      <c r="B118" s="1">
        <v>275.60000000000002</v>
      </c>
      <c r="C118" s="2">
        <f t="shared" si="5"/>
        <v>2.0060700273891539E-2</v>
      </c>
      <c r="D118" s="2">
        <f t="shared" si="6"/>
        <v>5.6100551808706482E-2</v>
      </c>
      <c r="E118" s="4">
        <f t="shared" si="7"/>
        <v>365.78374455732944</v>
      </c>
      <c r="F118" s="8" t="s">
        <v>43</v>
      </c>
    </row>
    <row r="119" spans="1:7" x14ac:dyDescent="0.25">
      <c r="A119" s="44">
        <v>45931</v>
      </c>
      <c r="B119" s="1">
        <v>280.66000000000003</v>
      </c>
      <c r="C119" s="2">
        <f t="shared" si="5"/>
        <v>1.8359941944847611E-2</v>
      </c>
      <c r="D119" s="2">
        <f t="shared" si="6"/>
        <v>6.242192527539088E-2</v>
      </c>
      <c r="E119" s="4">
        <f t="shared" si="7"/>
        <v>359.18905437183781</v>
      </c>
      <c r="F119" s="8" t="s">
        <v>43</v>
      </c>
    </row>
    <row r="120" spans="1:7" x14ac:dyDescent="0.25">
      <c r="A120" s="44">
        <v>45962</v>
      </c>
      <c r="B120" s="1">
        <v>281.77999999999997</v>
      </c>
      <c r="C120" s="2">
        <f t="shared" si="5"/>
        <v>3.990593600797932E-3</v>
      </c>
      <c r="D120" s="2">
        <f t="shared" si="6"/>
        <v>6.1478188804339619E-2</v>
      </c>
      <c r="E120" s="4">
        <f t="shared" si="7"/>
        <v>357.76137412165525</v>
      </c>
      <c r="F120" s="8" t="s">
        <v>43</v>
      </c>
    </row>
    <row r="121" spans="1:7" s="5" customFormat="1" ht="48" thickBot="1" x14ac:dyDescent="0.3">
      <c r="A121" s="45">
        <v>45992</v>
      </c>
      <c r="B121" s="20">
        <v>280.52999999999997</v>
      </c>
      <c r="C121" s="21">
        <f t="shared" si="5"/>
        <v>-4.4360848889204345E-3</v>
      </c>
      <c r="D121" s="21">
        <f t="shared" si="6"/>
        <v>5.6093061777660574E-2</v>
      </c>
      <c r="E121" s="22">
        <f t="shared" si="7"/>
        <v>359.35550565001967</v>
      </c>
      <c r="F121" s="42" t="s">
        <v>39</v>
      </c>
      <c r="G121" s="11" t="s">
        <v>49</v>
      </c>
    </row>
    <row r="122" spans="1:7" x14ac:dyDescent="0.25">
      <c r="A122" s="24"/>
      <c r="B122" s="24"/>
      <c r="C122" s="25"/>
      <c r="D122" s="25"/>
      <c r="E122" s="26"/>
      <c r="F122" s="19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Purchasing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Hanif</dc:creator>
  <cp:lastModifiedBy>Usman Hanif</cp:lastModifiedBy>
  <cp:lastPrinted>2026-01-16T12:23:40Z</cp:lastPrinted>
  <dcterms:created xsi:type="dcterms:W3CDTF">2026-01-16T09:41:43Z</dcterms:created>
  <dcterms:modified xsi:type="dcterms:W3CDTF">2026-01-22T15:32:25Z</dcterms:modified>
</cp:coreProperties>
</file>